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ython.xml" ContentType="application/vnd.ms-excel.pyth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Admin\Desktop\RTP\DA\EXCEL\"/>
    </mc:Choice>
  </mc:AlternateContent>
  <xr:revisionPtr revIDLastSave="0" documentId="13_ncr:1_{7C936C0B-E95F-4284-9D4C-FE64873C058B}" xr6:coauthVersionLast="47" xr6:coauthVersionMax="47" xr10:uidLastSave="{00000000-0000-0000-0000-000000000000}"/>
  <bookViews>
    <workbookView xWindow="28680" yWindow="-120" windowWidth="29040" windowHeight="15720" tabRatio="444" firstSheet="5" activeTab="10" xr2:uid="{4C30EA63-785D-4C9E-8075-E623A7E03072}"/>
  </bookViews>
  <sheets>
    <sheet name="Trade" sheetId="7" r:id="rId1"/>
    <sheet name="Order" sheetId="8" r:id="rId2"/>
    <sheet name="Trade (2)" sheetId="9" r:id="rId3"/>
    <sheet name="Sheet1" sheetId="11" r:id="rId4"/>
    <sheet name="Sheet2" sheetId="12" r:id="rId5"/>
    <sheet name="Order (2)" sheetId="10" r:id="rId6"/>
    <sheet name="Trade (3)" sheetId="13" r:id="rId7"/>
    <sheet name="Trade (4)" sheetId="14" r:id="rId8"/>
    <sheet name="Trade(Original)" sheetId="15" r:id="rId9"/>
    <sheet name="Trade1" sheetId="16" r:id="rId10"/>
    <sheet name="Lookup" sheetId="17" r:id="rId11"/>
    <sheet name="Sheet4" sheetId="18" r:id="rId12"/>
  </sheets>
  <definedNames>
    <definedName name="_xlnm._FilterDatabase" localSheetId="10" hidden="1">Lookup!$A$1:$I$1</definedName>
    <definedName name="_xlnm._FilterDatabase" localSheetId="0" hidden="1">Trade!$A$1:$I$1</definedName>
    <definedName name="_xlnm._FilterDatabase" localSheetId="2" hidden="1">'Trade (2)'!$A$11:$I$21</definedName>
    <definedName name="_xlnm._FilterDatabase" localSheetId="6" hidden="1">'Trade (3)'!$A$1:$I$14</definedName>
    <definedName name="_xlnm._FilterDatabase" localSheetId="7" hidden="1">'Trade (4)'!$A$1:$I$13</definedName>
    <definedName name="_xlnm._FilterDatabase" localSheetId="8" hidden="1">'Trade(Original)'!$A$1:$I$11</definedName>
    <definedName name="_xlnm._FilterDatabase" localSheetId="9" hidden="1">Trade1!$A$1:$I$11</definedName>
    <definedName name="Excel">#REF!</definedName>
    <definedName name="Git">#REF!</definedName>
    <definedName name="Power_BI">#REF!</definedName>
    <definedName name="Python">#REF!</definedName>
    <definedName name="Slicer_Item">#N/A</definedName>
    <definedName name="Slicer_Manager">#N/A</definedName>
    <definedName name="Slicer_OrderDate">#N/A</definedName>
    <definedName name="Slicer_Region">#N/A</definedName>
    <definedName name="Slicer_SalesMan">#N/A</definedName>
    <definedName name="SQL">#REF!</definedName>
    <definedName name="VM">#REF!</definedName>
    <definedName name="WEB_dev">#REF!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7" l="1" a="1"/>
  <c r="B22" i="17" s="1"/>
  <c r="G16" i="17" a="1"/>
  <c r="G16" i="17" s="1"/>
  <c r="B16" i="17"/>
  <c r="G18" i="17" a="1"/>
  <c r="G18" i="17" s="1"/>
  <c r="G17" i="17" a="1"/>
  <c r="G17" i="17" s="1"/>
  <c r="D17" i="17"/>
  <c r="D18" i="17"/>
  <c r="C17" i="17"/>
  <c r="C18" i="17"/>
  <c r="B17" i="17"/>
  <c r="B18" i="17"/>
  <c r="D16" i="17"/>
  <c r="C16" i="17"/>
  <c r="K9" i="18"/>
  <c r="J9" i="18"/>
  <c r="I9" i="18"/>
  <c r="H9" i="18"/>
  <c r="G9" i="18"/>
  <c r="F9" i="18"/>
  <c r="E9" i="18"/>
  <c r="D9" i="18"/>
  <c r="C9" i="18"/>
  <c r="B9" i="18"/>
  <c r="C49" i="17" a="1"/>
  <c r="C49" i="17" s="1"/>
  <c r="I11" i="17"/>
  <c r="I10" i="17"/>
  <c r="I9" i="17"/>
  <c r="I8" i="17"/>
  <c r="I7" i="17"/>
  <c r="I6" i="17"/>
  <c r="I5" i="17"/>
  <c r="I4" i="17"/>
  <c r="C48" i="17" s="1"/>
  <c r="I3" i="17"/>
  <c r="I2" i="17"/>
  <c r="E46" i="16"/>
  <c r="E43" i="16"/>
  <c r="E44" i="16"/>
  <c r="E45" i="16"/>
  <c r="E47" i="16"/>
  <c r="E48" i="16"/>
  <c r="E49" i="16"/>
  <c r="E50" i="16"/>
  <c r="E51" i="16"/>
  <c r="E42" i="16"/>
  <c r="D43" i="16"/>
  <c r="D44" i="16"/>
  <c r="D45" i="16"/>
  <c r="D46" i="16"/>
  <c r="D47" i="16"/>
  <c r="D48" i="16"/>
  <c r="D49" i="16"/>
  <c r="D50" i="16"/>
  <c r="D51" i="16"/>
  <c r="D42" i="16"/>
  <c r="C43" i="16"/>
  <c r="C44" i="16"/>
  <c r="C45" i="16"/>
  <c r="C46" i="16"/>
  <c r="C47" i="16"/>
  <c r="C48" i="16"/>
  <c r="C49" i="16"/>
  <c r="C50" i="16"/>
  <c r="C51" i="16"/>
  <c r="C42" i="16"/>
  <c r="I28" i="16"/>
  <c r="I29" i="16"/>
  <c r="I30" i="16"/>
  <c r="I31" i="16"/>
  <c r="I32" i="16"/>
  <c r="I33" i="16"/>
  <c r="I34" i="16"/>
  <c r="I35" i="16"/>
  <c r="I36" i="16"/>
  <c r="I27" i="16"/>
  <c r="H28" i="16"/>
  <c r="H29" i="16"/>
  <c r="H30" i="16"/>
  <c r="H31" i="16"/>
  <c r="H32" i="16"/>
  <c r="H33" i="16"/>
  <c r="H34" i="16"/>
  <c r="H35" i="16"/>
  <c r="H36" i="16"/>
  <c r="H27" i="16"/>
  <c r="G27" i="16"/>
  <c r="G28" i="16"/>
  <c r="G29" i="16"/>
  <c r="G30" i="16"/>
  <c r="G31" i="16"/>
  <c r="G32" i="16"/>
  <c r="G33" i="16"/>
  <c r="G34" i="16"/>
  <c r="G35" i="16"/>
  <c r="G36" i="16"/>
  <c r="F28" i="16"/>
  <c r="F29" i="16"/>
  <c r="F30" i="16"/>
  <c r="F31" i="16"/>
  <c r="F32" i="16"/>
  <c r="F33" i="16"/>
  <c r="F34" i="16"/>
  <c r="F35" i="16"/>
  <c r="F36" i="16"/>
  <c r="F27" i="16"/>
  <c r="E28" i="16"/>
  <c r="E29" i="16"/>
  <c r="E30" i="16"/>
  <c r="E31" i="16"/>
  <c r="E32" i="16"/>
  <c r="E33" i="16"/>
  <c r="E34" i="16"/>
  <c r="E35" i="16"/>
  <c r="E36" i="16"/>
  <c r="E27" i="16"/>
  <c r="D28" i="16"/>
  <c r="D29" i="16"/>
  <c r="D30" i="16"/>
  <c r="D31" i="16"/>
  <c r="D32" i="16"/>
  <c r="D33" i="16"/>
  <c r="D34" i="16"/>
  <c r="D35" i="16"/>
  <c r="D36" i="16"/>
  <c r="D27" i="16"/>
  <c r="C28" i="16"/>
  <c r="C29" i="16"/>
  <c r="C30" i="16"/>
  <c r="C31" i="16"/>
  <c r="C32" i="16"/>
  <c r="C33" i="16"/>
  <c r="C34" i="16"/>
  <c r="C35" i="16"/>
  <c r="C36" i="16"/>
  <c r="C27" i="16"/>
  <c r="B28" i="16"/>
  <c r="B29" i="16"/>
  <c r="B30" i="16"/>
  <c r="B31" i="16"/>
  <c r="B32" i="16"/>
  <c r="B33" i="16"/>
  <c r="B34" i="16"/>
  <c r="B35" i="16"/>
  <c r="B36" i="16"/>
  <c r="B27" i="16"/>
  <c r="C18" i="16"/>
  <c r="C17" i="16"/>
  <c r="C16" i="16"/>
  <c r="C15" i="16"/>
  <c r="C14" i="16"/>
  <c r="I11" i="16"/>
  <c r="I10" i="16"/>
  <c r="I9" i="16"/>
  <c r="I8" i="16"/>
  <c r="I7" i="16"/>
  <c r="I6" i="16"/>
  <c r="I5" i="16"/>
  <c r="I4" i="16"/>
  <c r="I3" i="16"/>
  <c r="I2" i="16"/>
  <c r="C49" i="15" a="1"/>
  <c r="C49" i="15" s="1"/>
  <c r="I11" i="15"/>
  <c r="I10" i="15"/>
  <c r="I9" i="15"/>
  <c r="I8" i="15"/>
  <c r="I7" i="15"/>
  <c r="I6" i="15"/>
  <c r="I5" i="15"/>
  <c r="I4" i="15"/>
  <c r="C48" i="15" s="1"/>
  <c r="I3" i="15"/>
  <c r="I2" i="15"/>
  <c r="G15" i="13"/>
  <c r="G12" i="13"/>
  <c r="G7" i="13"/>
  <c r="G3" i="13"/>
  <c r="C53" i="14" a="1"/>
  <c r="C53" i="14" s="1"/>
  <c r="I10" i="14"/>
  <c r="I11" i="14" s="1"/>
  <c r="I13" i="14"/>
  <c r="I6" i="14"/>
  <c r="I5" i="14"/>
  <c r="I9" i="14"/>
  <c r="I12" i="14"/>
  <c r="I14" i="14" s="1"/>
  <c r="I4" i="14"/>
  <c r="I3" i="14"/>
  <c r="I2" i="14"/>
  <c r="I8" i="14"/>
  <c r="C54" i="13" a="1"/>
  <c r="C54" i="13" s="1"/>
  <c r="I11" i="13"/>
  <c r="I2" i="13"/>
  <c r="I6" i="13"/>
  <c r="I10" i="13"/>
  <c r="I9" i="13"/>
  <c r="I14" i="13"/>
  <c r="I13" i="13"/>
  <c r="I5" i="13"/>
  <c r="I4" i="13"/>
  <c r="I8" i="13"/>
  <c r="I7" i="14" l="1"/>
  <c r="C52" i="14" s="1"/>
  <c r="I15" i="13"/>
  <c r="G16" i="13"/>
  <c r="I12" i="13"/>
  <c r="I7" i="13"/>
  <c r="I3" i="13"/>
  <c r="C53" i="7" a="1"/>
  <c r="C53" i="7" s="1"/>
  <c r="I15" i="14" l="1"/>
  <c r="I16" i="13"/>
  <c r="C53" i="13"/>
  <c r="I5" i="7"/>
  <c r="I10" i="7"/>
  <c r="I2" i="7"/>
  <c r="I11" i="7"/>
  <c r="I6" i="7"/>
  <c r="I12" i="7"/>
  <c r="I3" i="7"/>
  <c r="I13" i="7"/>
  <c r="I7" i="7"/>
  <c r="I12" i="9"/>
  <c r="I13" i="9"/>
  <c r="I14" i="9"/>
  <c r="I15" i="9"/>
  <c r="I16" i="9"/>
  <c r="I17" i="9"/>
  <c r="I18" i="9"/>
  <c r="I19" i="9"/>
  <c r="I20" i="9"/>
  <c r="I21" i="9"/>
  <c r="I9" i="7"/>
  <c r="I14" i="7" l="1"/>
  <c r="I4" i="7"/>
  <c r="I8" i="7"/>
  <c r="I3" i="9"/>
  <c r="I15" i="7" l="1"/>
  <c r="C5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F626CC-06D6-46A0-9CC1-DA278DAADCD7}" keepAlive="1" name="Query - Document" description="Connection to the 'Document' query in the workbook." type="5" refreshedVersion="0" background="1">
    <dbPr connection="Provider=Microsoft.Mashup.OleDb.1;Data Source=$Workbook$;Location=Document;Extended Properties=&quot;&quot;" command="SELECT * FROM [Document]"/>
  </connection>
  <connection id="2" xr16:uid="{75EA6235-36D9-4944-A205-56A17A6D2654}" keepAlive="1" name="Query - IF-AND-OR-NOT" description="Connection to the 'IF-AND-OR-NOT' query in the workbook." type="5" refreshedVersion="0" background="1">
    <dbPr connection="Provider=Microsoft.Mashup.OleDb.1;Data Source=$Workbook$;Location=IF-AND-OR-NOT;Extended Properties=&quot;&quot;" command="SELECT * FROM [IF-AND-OR-NO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xl(%P2%)[0]</code>
    </pythonScript>
    <pythonScript>
      <code>xl(%P2%)[0:2]</code>
    </pythonScript>
    <pythonScript>
      <code>len(xl(%P2%))</code>
    </pythonScript>
    <pythonScript>
      <code>xl(%P2%).upper()</code>
    </pythonScript>
  </pythonScripts>
</python>
</file>

<file path=xl/sharedStrings.xml><?xml version="1.0" encoding="utf-8"?>
<sst xmlns="http://schemas.openxmlformats.org/spreadsheetml/2006/main" count="790" uniqueCount="236">
  <si>
    <t>OrderDate</t>
  </si>
  <si>
    <t>Region</t>
  </si>
  <si>
    <t>Manager</t>
  </si>
  <si>
    <t>SalesMan</t>
  </si>
  <si>
    <t>Item</t>
  </si>
  <si>
    <t>Units</t>
  </si>
  <si>
    <t>Unit_price</t>
  </si>
  <si>
    <t>Sale_amt</t>
  </si>
  <si>
    <t>East</t>
  </si>
  <si>
    <t>Martha</t>
  </si>
  <si>
    <t>Alexander</t>
  </si>
  <si>
    <t>Television</t>
  </si>
  <si>
    <t>Central</t>
  </si>
  <si>
    <t>Hermann</t>
  </si>
  <si>
    <t>Shelli</t>
  </si>
  <si>
    <t>Home Theater</t>
  </si>
  <si>
    <t>Luis</t>
  </si>
  <si>
    <t>Timothy</t>
  </si>
  <si>
    <t>David</t>
  </si>
  <si>
    <t>Cell Phone</t>
  </si>
  <si>
    <t>West</t>
  </si>
  <si>
    <t>Stephen</t>
  </si>
  <si>
    <t>Steven</t>
  </si>
  <si>
    <t>Douglas</t>
  </si>
  <si>
    <t>Michael</t>
  </si>
  <si>
    <t>Desk</t>
  </si>
  <si>
    <t>Video Games</t>
  </si>
  <si>
    <t>OrderID</t>
  </si>
  <si>
    <t>Delivery_Date</t>
  </si>
  <si>
    <t>Delivered</t>
  </si>
  <si>
    <t>In Transit</t>
  </si>
  <si>
    <t>Pending</t>
  </si>
  <si>
    <t>Ship_Status</t>
  </si>
  <si>
    <t>Ship_ID</t>
  </si>
  <si>
    <t>A1</t>
  </si>
  <si>
    <t>A2</t>
  </si>
  <si>
    <t>A3</t>
  </si>
  <si>
    <t>A4</t>
  </si>
  <si>
    <t>A5</t>
  </si>
  <si>
    <t>A6</t>
  </si>
  <si>
    <t>A7</t>
  </si>
  <si>
    <t>A8</t>
  </si>
  <si>
    <t>A9</t>
  </si>
  <si>
    <t>A10</t>
  </si>
  <si>
    <t>S.No.</t>
  </si>
  <si>
    <t>Sum Of Sale_Amt</t>
  </si>
  <si>
    <t>Customer_Name</t>
  </si>
  <si>
    <t>Ruby Patel</t>
  </si>
  <si>
    <t>Summer Hayward</t>
  </si>
  <si>
    <t>Devin Huddleston</t>
  </si>
  <si>
    <t>Mary Parker</t>
  </si>
  <si>
    <t>Daniel Burke</t>
  </si>
  <si>
    <t>Fredrick Beveridge</t>
  </si>
  <si>
    <t>Archer Hort</t>
  </si>
  <si>
    <t>Evie Flockhart</t>
  </si>
  <si>
    <t>Faith Greenwood</t>
  </si>
  <si>
    <t>Gracie Powell</t>
  </si>
  <si>
    <t>Hershel Snyder</t>
  </si>
  <si>
    <t>Julia Martell</t>
  </si>
  <si>
    <t>Viola Watson</t>
  </si>
  <si>
    <t>Julian Dobie</t>
  </si>
  <si>
    <t>Rose Heap</t>
  </si>
  <si>
    <t>Ella Troy</t>
  </si>
  <si>
    <t>Everett Dunbar</t>
  </si>
  <si>
    <t>Georgia Bermingham</t>
  </si>
  <si>
    <t>1st Name</t>
  </si>
  <si>
    <t>Last Name</t>
  </si>
  <si>
    <t>Ruby</t>
  </si>
  <si>
    <t>Summer</t>
  </si>
  <si>
    <t>Devin</t>
  </si>
  <si>
    <t>Mary</t>
  </si>
  <si>
    <t>Daniel</t>
  </si>
  <si>
    <t>Fredrick</t>
  </si>
  <si>
    <t>Archer</t>
  </si>
  <si>
    <t>Evie</t>
  </si>
  <si>
    <t>Faith</t>
  </si>
  <si>
    <t>Gracie</t>
  </si>
  <si>
    <t>Hershel</t>
  </si>
  <si>
    <t>Julia</t>
  </si>
  <si>
    <t>Viola</t>
  </si>
  <si>
    <t>Julian</t>
  </si>
  <si>
    <t>Rose</t>
  </si>
  <si>
    <t>Ella</t>
  </si>
  <si>
    <t>Everett</t>
  </si>
  <si>
    <t>Georgia</t>
  </si>
  <si>
    <t>Patel</t>
  </si>
  <si>
    <t>Hayward</t>
  </si>
  <si>
    <t>Huddleston</t>
  </si>
  <si>
    <t>Parker</t>
  </si>
  <si>
    <t>Burke</t>
  </si>
  <si>
    <t>Beveridge</t>
  </si>
  <si>
    <t>Hort</t>
  </si>
  <si>
    <t>Flockhart</t>
  </si>
  <si>
    <t>Greenwood</t>
  </si>
  <si>
    <t>Powell</t>
  </si>
  <si>
    <t>Snyder</t>
  </si>
  <si>
    <t>Martell</t>
  </si>
  <si>
    <t>Watson</t>
  </si>
  <si>
    <t>Dobie</t>
  </si>
  <si>
    <t>Heap</t>
  </si>
  <si>
    <t>Troy</t>
  </si>
  <si>
    <t>Dunbar</t>
  </si>
  <si>
    <t>Bermingham</t>
  </si>
  <si>
    <t>short name</t>
  </si>
  <si>
    <t>RP</t>
  </si>
  <si>
    <t>SH</t>
  </si>
  <si>
    <t>DH</t>
  </si>
  <si>
    <t>MP</t>
  </si>
  <si>
    <t>DB</t>
  </si>
  <si>
    <t>FB</t>
  </si>
  <si>
    <t>AH</t>
  </si>
  <si>
    <t>EF</t>
  </si>
  <si>
    <t>FG</t>
  </si>
  <si>
    <t>GP</t>
  </si>
  <si>
    <t>HS</t>
  </si>
  <si>
    <t>JM</t>
  </si>
  <si>
    <t>VW</t>
  </si>
  <si>
    <t>JD</t>
  </si>
  <si>
    <t>RH</t>
  </si>
  <si>
    <t>ET</t>
  </si>
  <si>
    <t>ED</t>
  </si>
  <si>
    <t>GB</t>
  </si>
  <si>
    <t>Months</t>
  </si>
  <si>
    <t>January</t>
  </si>
  <si>
    <t>February</t>
  </si>
  <si>
    <t>March</t>
  </si>
  <si>
    <t>April</t>
  </si>
  <si>
    <t>May</t>
  </si>
  <si>
    <t>June</t>
  </si>
  <si>
    <t>July</t>
  </si>
  <si>
    <t>August</t>
  </si>
  <si>
    <t>September</t>
  </si>
  <si>
    <t>October</t>
  </si>
  <si>
    <t>November</t>
  </si>
  <si>
    <t>December</t>
  </si>
  <si>
    <t>Mon</t>
  </si>
  <si>
    <t>Jan</t>
  </si>
  <si>
    <t>Feb</t>
  </si>
  <si>
    <t>Mar</t>
  </si>
  <si>
    <t>Apr</t>
  </si>
  <si>
    <t>Jun</t>
  </si>
  <si>
    <t>Jul</t>
  </si>
  <si>
    <t>Aug</t>
  </si>
  <si>
    <t>Sep</t>
  </si>
  <si>
    <t>Oct</t>
  </si>
  <si>
    <t>Nov</t>
  </si>
  <si>
    <t>Dec</t>
  </si>
  <si>
    <t>J</t>
  </si>
  <si>
    <t>F</t>
  </si>
  <si>
    <t>M</t>
  </si>
  <si>
    <t>A</t>
  </si>
  <si>
    <t>S</t>
  </si>
  <si>
    <t>O</t>
  </si>
  <si>
    <t>N</t>
  </si>
  <si>
    <t>D</t>
  </si>
  <si>
    <t>Product_Name</t>
  </si>
  <si>
    <t>Enermax Note Cards, Premium</t>
  </si>
  <si>
    <t>Dania Corner Shelving, Traditional</t>
  </si>
  <si>
    <t>Binney &amp; Smith Sketch Pad, Easy-Erase</t>
  </si>
  <si>
    <t>Boston Markers, Easy-Erase</t>
  </si>
  <si>
    <t>Binney &amp; Smith Pencil Sharpener, Water Color</t>
  </si>
  <si>
    <t>Bush Floating Shelf Set, Pine</t>
  </si>
  <si>
    <t>Ikea Classic Bookcase, Metal</t>
  </si>
  <si>
    <t>Ibico Hole Reinforcements, Recycled</t>
  </si>
  <si>
    <t>Boston Canvas, Fluorescent</t>
  </si>
  <si>
    <t>Bevis Training Table, with Bottom Storage</t>
  </si>
  <si>
    <t>SAFCO Executive Leather Armchair, Red</t>
  </si>
  <si>
    <t>1st</t>
  </si>
  <si>
    <t>2nd</t>
  </si>
  <si>
    <t>3rd</t>
  </si>
  <si>
    <t>4th</t>
  </si>
  <si>
    <t>Enermax</t>
  </si>
  <si>
    <t>Dania</t>
  </si>
  <si>
    <t>Binney</t>
  </si>
  <si>
    <t>Boston</t>
  </si>
  <si>
    <t>Bush</t>
  </si>
  <si>
    <t>Ikea</t>
  </si>
  <si>
    <t>Ibico</t>
  </si>
  <si>
    <t>Bevis</t>
  </si>
  <si>
    <t>SAFCO</t>
  </si>
  <si>
    <t>Note</t>
  </si>
  <si>
    <t>Corner</t>
  </si>
  <si>
    <t>&amp;</t>
  </si>
  <si>
    <t>Markers</t>
  </si>
  <si>
    <t>Floating</t>
  </si>
  <si>
    <t>Classic</t>
  </si>
  <si>
    <t>Hole</t>
  </si>
  <si>
    <t>Canvas</t>
  </si>
  <si>
    <t>Training</t>
  </si>
  <si>
    <t>Executive</t>
  </si>
  <si>
    <t>Cards</t>
  </si>
  <si>
    <t>Premium</t>
  </si>
  <si>
    <t>Dynamic Function</t>
  </si>
  <si>
    <t>Static Function</t>
  </si>
  <si>
    <t>Cell Phone Total</t>
  </si>
  <si>
    <t>Home Theater Total</t>
  </si>
  <si>
    <t>Television Total</t>
  </si>
  <si>
    <t>Grand Total</t>
  </si>
  <si>
    <t>Douglas Total</t>
  </si>
  <si>
    <t>Hermann Total</t>
  </si>
  <si>
    <t>Martha Total</t>
  </si>
  <si>
    <t>Timothy Total</t>
  </si>
  <si>
    <t>Central Average</t>
  </si>
  <si>
    <t>East Average</t>
  </si>
  <si>
    <t>West Average</t>
  </si>
  <si>
    <t>Grand Average</t>
  </si>
  <si>
    <t>Date Functions</t>
  </si>
  <si>
    <t>Syntax</t>
  </si>
  <si>
    <t>Result</t>
  </si>
  <si>
    <t>Remarks</t>
  </si>
  <si>
    <t>Current Date</t>
  </si>
  <si>
    <t>TODAY()</t>
  </si>
  <si>
    <t>Future Date</t>
  </si>
  <si>
    <t>TODAY() + 50</t>
  </si>
  <si>
    <t>Current Date &amp; Time</t>
  </si>
  <si>
    <t>NOW()</t>
  </si>
  <si>
    <r>
      <t xml:space="preserve">Extract the </t>
    </r>
    <r>
      <rPr>
        <b/>
        <sz val="10"/>
        <color rgb="FF0070C0"/>
        <rFont val="Calibri"/>
        <family val="2"/>
        <scheme val="minor"/>
      </rPr>
      <t>Day</t>
    </r>
    <r>
      <rPr>
        <sz val="10"/>
        <color rgb="FF0070C0"/>
        <rFont val="Calibri"/>
        <family val="2"/>
        <scheme val="minor"/>
      </rPr>
      <t xml:space="preserve"> from a date</t>
    </r>
  </si>
  <si>
    <t>DAY()</t>
  </si>
  <si>
    <t>=DAY("dd-mm-yyyy")</t>
  </si>
  <si>
    <t>MONTH()</t>
  </si>
  <si>
    <t>YEAR()</t>
  </si>
  <si>
    <t>QUARTER()</t>
  </si>
  <si>
    <t>DD-MM-YYYY</t>
  </si>
  <si>
    <t>TEXT()</t>
  </si>
  <si>
    <t>Date-Month</t>
  </si>
  <si>
    <t>Month-Year</t>
  </si>
  <si>
    <t>Date/Month</t>
  </si>
  <si>
    <t>Day Name</t>
  </si>
  <si>
    <t>OrderDate (DMY)</t>
  </si>
  <si>
    <t>MDY</t>
  </si>
  <si>
    <t>YMD</t>
  </si>
  <si>
    <t>MY</t>
  </si>
  <si>
    <t>DM</t>
  </si>
  <si>
    <t>Order No.</t>
  </si>
  <si>
    <t>V-Lookup</t>
  </si>
  <si>
    <t>Sale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</si>
</sst>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6" formatCode="_(* #,##0_);_(* \(#,##0\);_(* &quot;-&quot;??_);_(@_)"/>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name val="Arial"/>
      <family val="2"/>
    </font>
    <font>
      <sz val="11"/>
      <color theme="1"/>
      <name val="Arial"/>
      <family val="2"/>
    </font>
    <font>
      <sz val="8"/>
      <name val="Calibri"/>
      <family val="2"/>
      <scheme val="minor"/>
    </font>
    <font>
      <b/>
      <sz val="11"/>
      <color rgb="FFFF0000"/>
      <name val="Calibri"/>
      <family val="2"/>
      <scheme val="minor"/>
    </font>
    <font>
      <b/>
      <sz val="11"/>
      <color rgb="FF0000FF"/>
      <name val="Calibri"/>
      <family val="2"/>
      <scheme val="minor"/>
    </font>
    <font>
      <b/>
      <sz val="12"/>
      <color theme="1"/>
      <name val="Calibri"/>
      <family val="2"/>
      <scheme val="minor"/>
    </font>
    <font>
      <b/>
      <sz val="12"/>
      <color theme="1"/>
      <name val="Calibri"/>
      <family val="2"/>
    </font>
    <font>
      <b/>
      <sz val="12"/>
      <name val="Arial"/>
      <family val="2"/>
    </font>
    <font>
      <b/>
      <sz val="12"/>
      <color theme="1"/>
      <name val="Arial"/>
      <family val="2"/>
    </font>
    <font>
      <b/>
      <sz val="12"/>
      <name val="Calibri"/>
      <family val="2"/>
    </font>
    <font>
      <b/>
      <sz val="12"/>
      <name val="Calibri"/>
      <family val="2"/>
      <scheme val="minor"/>
    </font>
    <font>
      <sz val="11"/>
      <color rgb="FF0070C0"/>
      <name val="Calibri"/>
      <family val="2"/>
      <scheme val="minor"/>
    </font>
    <font>
      <sz val="10"/>
      <color rgb="FF0070C0"/>
      <name val="Calibri"/>
      <family val="2"/>
      <scheme val="minor"/>
    </font>
    <font>
      <b/>
      <sz val="10"/>
      <color rgb="FF0070C0"/>
      <name val="Calibri"/>
      <family val="2"/>
      <scheme val="minor"/>
    </font>
    <font>
      <b/>
      <sz val="11"/>
      <color theme="1"/>
      <name val="Calibri"/>
      <family val="2"/>
    </font>
  </fonts>
  <fills count="16">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66FFFF"/>
        <bgColor indexed="64"/>
      </patternFill>
    </fill>
    <fill>
      <patternFill patternType="solid">
        <fgColor rgb="FF6CF894"/>
        <bgColor indexed="64"/>
      </patternFill>
    </fill>
    <fill>
      <patternFill patternType="solid">
        <fgColor rgb="FF57EE1A"/>
        <bgColor indexed="64"/>
      </patternFill>
    </fill>
    <fill>
      <patternFill patternType="solid">
        <fgColor rgb="FF00FFFF"/>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rgb="FF99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164" fontId="1" fillId="0" borderId="0" applyFont="0" applyFill="0" applyBorder="0" applyAlignment="0" applyProtection="0"/>
  </cellStyleXfs>
  <cellXfs count="124">
    <xf numFmtId="0" fontId="0" fillId="0" borderId="0" xfId="0"/>
    <xf numFmtId="164" fontId="3" fillId="0" borderId="1" xfId="1" applyFont="1" applyFill="1" applyBorder="1" applyAlignment="1">
      <alignment horizontal="right" vertical="center"/>
    </xf>
    <xf numFmtId="0" fontId="0" fillId="0" borderId="0" xfId="0" applyAlignment="1">
      <alignment horizontal="center"/>
    </xf>
    <xf numFmtId="0" fontId="2" fillId="2" borderId="1" xfId="0" applyFont="1" applyFill="1" applyBorder="1" applyAlignment="1">
      <alignment horizontal="center" vertical="center" wrapText="1"/>
    </xf>
    <xf numFmtId="164" fontId="3" fillId="0" borderId="1" xfId="1" applyFont="1" applyFill="1" applyBorder="1" applyAlignment="1">
      <alignment horizontal="left"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vertical="center" wrapText="1"/>
    </xf>
    <xf numFmtId="14" fontId="3" fillId="0" borderId="1" xfId="0" applyNumberFormat="1" applyFont="1" applyFill="1" applyBorder="1" applyAlignment="1">
      <alignment horizontal="center" vertical="center"/>
    </xf>
    <xf numFmtId="0" fontId="3" fillId="0" borderId="1" xfId="0" applyFont="1" applyFill="1" applyBorder="1" applyAlignment="1">
      <alignment vertical="center"/>
    </xf>
    <xf numFmtId="0" fontId="4" fillId="0" borderId="1" xfId="0" applyFont="1" applyFill="1" applyBorder="1"/>
    <xf numFmtId="0" fontId="5" fillId="0" borderId="1" xfId="0" applyFont="1" applyFill="1" applyBorder="1" applyAlignment="1">
      <alignment vertical="top" wrapText="1"/>
    </xf>
    <xf numFmtId="0" fontId="3" fillId="0" borderId="1" xfId="0" applyFont="1" applyFill="1" applyBorder="1" applyAlignment="1">
      <alignment horizontal="left" vertical="center"/>
    </xf>
    <xf numFmtId="164" fontId="0" fillId="0" borderId="3" xfId="0" applyNumberFormat="1" applyFill="1" applyBorder="1"/>
    <xf numFmtId="164" fontId="3" fillId="0" borderId="8" xfId="1" applyFont="1" applyFill="1" applyBorder="1" applyAlignment="1">
      <alignment horizontal="left" vertical="center"/>
    </xf>
    <xf numFmtId="0" fontId="2" fillId="0" borderId="4" xfId="0" applyFont="1" applyFill="1" applyBorder="1" applyAlignment="1">
      <alignment horizontal="center" vertical="center"/>
    </xf>
    <xf numFmtId="14" fontId="2" fillId="0" borderId="5"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0" fillId="0" borderId="2" xfId="0" applyFill="1" applyBorder="1" applyAlignment="1">
      <alignment horizontal="center"/>
    </xf>
    <xf numFmtId="1" fontId="5" fillId="0" borderId="1" xfId="0" applyNumberFormat="1" applyFont="1" applyFill="1" applyBorder="1" applyAlignment="1">
      <alignment horizontal="center" vertical="top" wrapText="1"/>
    </xf>
    <xf numFmtId="1" fontId="3" fillId="0" borderId="1" xfId="0" applyNumberFormat="1" applyFont="1" applyFill="1" applyBorder="1" applyAlignment="1">
      <alignment horizontal="center" vertical="center"/>
    </xf>
    <xf numFmtId="0" fontId="4" fillId="0" borderId="1" xfId="0" applyFont="1" applyFill="1" applyBorder="1" applyAlignment="1">
      <alignment vertical="top" wrapText="1"/>
    </xf>
    <xf numFmtId="0" fontId="0" fillId="0" borderId="7" xfId="0" applyFill="1" applyBorder="1" applyAlignment="1">
      <alignment horizontal="center"/>
    </xf>
    <xf numFmtId="14" fontId="3" fillId="0" borderId="8" xfId="0" applyNumberFormat="1" applyFont="1" applyFill="1" applyBorder="1" applyAlignment="1">
      <alignment horizontal="center" vertical="center"/>
    </xf>
    <xf numFmtId="0" fontId="3" fillId="0" borderId="8" xfId="0" applyFont="1" applyFill="1" applyBorder="1" applyAlignment="1">
      <alignment vertical="center"/>
    </xf>
    <xf numFmtId="0" fontId="4" fillId="0" borderId="8" xfId="0" applyFont="1" applyFill="1" applyBorder="1"/>
    <xf numFmtId="0" fontId="5" fillId="0" borderId="8" xfId="0" applyFont="1" applyFill="1" applyBorder="1" applyAlignment="1">
      <alignment vertical="top" wrapText="1"/>
    </xf>
    <xf numFmtId="0" fontId="3" fillId="0" borderId="8" xfId="0" applyFont="1" applyFill="1" applyBorder="1" applyAlignment="1">
      <alignment horizontal="left" vertical="center"/>
    </xf>
    <xf numFmtId="1" fontId="3" fillId="0" borderId="8" xfId="0" applyNumberFormat="1" applyFont="1" applyFill="1" applyBorder="1" applyAlignment="1">
      <alignment horizontal="center" vertical="center"/>
    </xf>
    <xf numFmtId="164" fontId="0" fillId="0" borderId="9" xfId="0" applyNumberFormat="1" applyFill="1" applyBorder="1"/>
    <xf numFmtId="0" fontId="2" fillId="0" borderId="0" xfId="0" applyFont="1"/>
    <xf numFmtId="164" fontId="7" fillId="3" borderId="0" xfId="0" applyNumberFormat="1" applyFont="1" applyFill="1"/>
    <xf numFmtId="0" fontId="2" fillId="5" borderId="1" xfId="0" applyFont="1" applyFill="1" applyBorder="1"/>
    <xf numFmtId="0" fontId="0" fillId="0" borderId="1" xfId="0" applyBorder="1"/>
    <xf numFmtId="0" fontId="2" fillId="6" borderId="1" xfId="0" applyFont="1" applyFill="1" applyBorder="1" applyAlignment="1">
      <alignment horizontal="center"/>
    </xf>
    <xf numFmtId="0" fontId="2" fillId="7" borderId="1" xfId="0" applyFont="1" applyFill="1" applyBorder="1" applyAlignment="1">
      <alignment horizontal="center"/>
    </xf>
    <xf numFmtId="0" fontId="2" fillId="7" borderId="0" xfId="0" applyFont="1" applyFill="1"/>
    <xf numFmtId="0" fontId="2" fillId="2" borderId="0" xfId="0" applyFont="1" applyFill="1"/>
    <xf numFmtId="0" fontId="8" fillId="0" borderId="0" xfId="0" applyFont="1" applyAlignment="1">
      <alignment horizontal="center"/>
    </xf>
    <xf numFmtId="0" fontId="9" fillId="3" borderId="1" xfId="0" applyFont="1" applyFill="1" applyBorder="1" applyAlignment="1">
      <alignment horizontal="center" vertical="center"/>
    </xf>
    <xf numFmtId="14" fontId="9" fillId="4" borderId="1"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9" fillId="0" borderId="1" xfId="0" applyFont="1" applyBorder="1" applyAlignment="1">
      <alignment horizontal="center"/>
    </xf>
    <xf numFmtId="14" fontId="10" fillId="0" borderId="1" xfId="0" applyNumberFormat="1" applyFont="1" applyBorder="1" applyAlignment="1">
      <alignment horizontal="center" vertical="center"/>
    </xf>
    <xf numFmtId="0" fontId="10" fillId="0" borderId="1" xfId="0" applyFont="1" applyBorder="1" applyAlignment="1">
      <alignment vertical="center"/>
    </xf>
    <xf numFmtId="0" fontId="11" fillId="0" borderId="1" xfId="0" applyFont="1" applyBorder="1"/>
    <xf numFmtId="0" fontId="12" fillId="0" borderId="1" xfId="0" applyFont="1" applyBorder="1" applyAlignment="1">
      <alignment vertical="top" wrapText="1"/>
    </xf>
    <xf numFmtId="14" fontId="10" fillId="0" borderId="1" xfId="0" applyNumberFormat="1" applyFont="1" applyFill="1" applyBorder="1" applyAlignment="1">
      <alignment horizontal="center" vertical="center"/>
    </xf>
    <xf numFmtId="0" fontId="10" fillId="0" borderId="1" xfId="0" applyFont="1" applyFill="1" applyBorder="1" applyAlignment="1">
      <alignment vertical="center"/>
    </xf>
    <xf numFmtId="0" fontId="11" fillId="0" borderId="1" xfId="0" applyFont="1" applyFill="1" applyBorder="1"/>
    <xf numFmtId="0" fontId="11" fillId="0" borderId="1" xfId="0" applyFont="1" applyBorder="1" applyAlignment="1">
      <alignment vertical="top" wrapText="1"/>
    </xf>
    <xf numFmtId="164" fontId="2" fillId="9" borderId="0" xfId="0" applyNumberFormat="1" applyFont="1" applyFill="1"/>
    <xf numFmtId="0" fontId="0" fillId="8" borderId="0" xfId="0" applyFill="1"/>
    <xf numFmtId="0" fontId="13" fillId="0" borderId="1" xfId="0" applyFont="1" applyFill="1" applyBorder="1" applyAlignment="1">
      <alignment horizontal="left" vertical="center"/>
    </xf>
    <xf numFmtId="164" fontId="14" fillId="0" borderId="1" xfId="0" applyNumberFormat="1" applyFont="1" applyFill="1" applyBorder="1"/>
    <xf numFmtId="0" fontId="11" fillId="0" borderId="1" xfId="0" applyFont="1" applyFill="1" applyBorder="1" applyAlignment="1">
      <alignment vertical="top" wrapText="1"/>
    </xf>
    <xf numFmtId="164" fontId="13" fillId="0" borderId="1" xfId="1" applyFont="1" applyFill="1" applyBorder="1" applyAlignment="1">
      <alignment horizontal="right" vertical="center"/>
    </xf>
    <xf numFmtId="164" fontId="13" fillId="0" borderId="1" xfId="1" applyFont="1" applyFill="1" applyBorder="1" applyAlignment="1">
      <alignment horizontal="left" vertical="center"/>
    </xf>
    <xf numFmtId="1" fontId="11" fillId="0" borderId="1" xfId="0" applyNumberFormat="1" applyFont="1" applyFill="1" applyBorder="1" applyAlignment="1">
      <alignment horizontal="center" vertical="top" wrapText="1"/>
    </xf>
    <xf numFmtId="0" fontId="9" fillId="10" borderId="1" xfId="0" applyFont="1" applyFill="1" applyBorder="1" applyAlignment="1">
      <alignment horizontal="center" vertical="center"/>
    </xf>
    <xf numFmtId="0" fontId="9" fillId="0" borderId="0" xfId="0" applyFont="1" applyBorder="1" applyAlignment="1">
      <alignment horizontal="center"/>
    </xf>
    <xf numFmtId="14" fontId="10" fillId="0" borderId="0" xfId="0" applyNumberFormat="1" applyFont="1" applyBorder="1" applyAlignment="1">
      <alignment horizontal="center" vertical="center"/>
    </xf>
    <xf numFmtId="0" fontId="10" fillId="0" borderId="0" xfId="0" applyFont="1" applyBorder="1" applyAlignment="1">
      <alignment vertical="center"/>
    </xf>
    <xf numFmtId="0" fontId="11" fillId="0" borderId="0" xfId="0" applyFont="1" applyBorder="1" applyAlignment="1">
      <alignment vertical="top" wrapText="1"/>
    </xf>
    <xf numFmtId="0" fontId="13" fillId="3" borderId="1" xfId="0" applyFont="1" applyFill="1" applyBorder="1" applyAlignment="1">
      <alignment horizontal="left" vertical="center"/>
    </xf>
    <xf numFmtId="1" fontId="11" fillId="3" borderId="1" xfId="0" applyNumberFormat="1" applyFont="1" applyFill="1" applyBorder="1" applyAlignment="1">
      <alignment horizontal="center" vertical="top" wrapText="1"/>
    </xf>
    <xf numFmtId="164" fontId="13" fillId="3" borderId="1" xfId="1" applyFont="1" applyFill="1" applyBorder="1" applyAlignment="1">
      <alignment horizontal="right" vertical="center"/>
    </xf>
    <xf numFmtId="164" fontId="14" fillId="3" borderId="1" xfId="0" applyNumberFormat="1" applyFont="1" applyFill="1" applyBorder="1"/>
    <xf numFmtId="164" fontId="13" fillId="3" borderId="1" xfId="1" applyFont="1" applyFill="1" applyBorder="1" applyAlignment="1">
      <alignment horizontal="left" vertical="center"/>
    </xf>
    <xf numFmtId="0" fontId="13" fillId="3" borderId="0" xfId="0" applyFont="1" applyFill="1" applyBorder="1" applyAlignment="1">
      <alignment horizontal="left" vertical="center"/>
    </xf>
    <xf numFmtId="1" fontId="11" fillId="3" borderId="0" xfId="0" applyNumberFormat="1" applyFont="1" applyFill="1" applyBorder="1" applyAlignment="1">
      <alignment horizontal="center" vertical="top" wrapText="1"/>
    </xf>
    <xf numFmtId="164" fontId="13" fillId="3" borderId="0" xfId="1" applyFont="1" applyFill="1" applyBorder="1" applyAlignment="1">
      <alignment horizontal="left" vertical="center"/>
    </xf>
    <xf numFmtId="164" fontId="14" fillId="3" borderId="0" xfId="0" applyNumberFormat="1" applyFont="1" applyFill="1" applyBorder="1"/>
    <xf numFmtId="0" fontId="13" fillId="11" borderId="0" xfId="0" applyFont="1" applyFill="1" applyBorder="1" applyAlignment="1">
      <alignment horizontal="left" vertical="center"/>
    </xf>
    <xf numFmtId="1" fontId="11" fillId="11" borderId="0" xfId="0" applyNumberFormat="1" applyFont="1" applyFill="1" applyBorder="1" applyAlignment="1">
      <alignment horizontal="center" vertical="top" wrapText="1"/>
    </xf>
    <xf numFmtId="164" fontId="13" fillId="11" borderId="0" xfId="1" applyFont="1" applyFill="1" applyBorder="1" applyAlignment="1">
      <alignment horizontal="left" vertical="center"/>
    </xf>
    <xf numFmtId="164" fontId="14" fillId="11" borderId="0" xfId="0" applyNumberFormat="1" applyFont="1" applyFill="1" applyBorder="1"/>
    <xf numFmtId="0" fontId="9" fillId="11" borderId="1" xfId="0" applyFont="1" applyFill="1" applyBorder="1" applyAlignment="1">
      <alignment horizontal="center" vertical="center"/>
    </xf>
    <xf numFmtId="14" fontId="10" fillId="0" borderId="0" xfId="0" applyNumberFormat="1" applyFont="1" applyFill="1" applyBorder="1" applyAlignment="1">
      <alignment horizontal="center" vertical="center"/>
    </xf>
    <xf numFmtId="0" fontId="10" fillId="0" borderId="0" xfId="0" applyFont="1" applyFill="1" applyBorder="1" applyAlignment="1">
      <alignment vertical="center"/>
    </xf>
    <xf numFmtId="0" fontId="11" fillId="3" borderId="1" xfId="0" applyFont="1" applyFill="1" applyBorder="1" applyAlignment="1">
      <alignment vertical="top" wrapText="1"/>
    </xf>
    <xf numFmtId="0" fontId="11" fillId="3" borderId="1" xfId="0" applyFont="1" applyFill="1" applyBorder="1"/>
    <xf numFmtId="0" fontId="11" fillId="3" borderId="0" xfId="0" applyFont="1" applyFill="1" applyBorder="1"/>
    <xf numFmtId="0" fontId="11" fillId="3" borderId="0" xfId="0" applyFont="1" applyFill="1" applyBorder="1" applyAlignment="1">
      <alignment vertical="top" wrapText="1"/>
    </xf>
    <xf numFmtId="164" fontId="13" fillId="3" borderId="0" xfId="1" applyFont="1" applyFill="1" applyBorder="1" applyAlignment="1">
      <alignment horizontal="right" vertical="center"/>
    </xf>
    <xf numFmtId="0" fontId="11" fillId="9" borderId="0" xfId="0" applyFont="1" applyFill="1" applyBorder="1"/>
    <xf numFmtId="0" fontId="11" fillId="9" borderId="0" xfId="0" applyFont="1" applyFill="1" applyBorder="1" applyAlignment="1">
      <alignment vertical="top" wrapText="1"/>
    </xf>
    <xf numFmtId="0" fontId="13" fillId="9" borderId="0" xfId="0" applyFont="1" applyFill="1" applyBorder="1" applyAlignment="1">
      <alignment horizontal="left" vertical="center"/>
    </xf>
    <xf numFmtId="1" fontId="11" fillId="9" borderId="0" xfId="0" applyNumberFormat="1" applyFont="1" applyFill="1" applyBorder="1" applyAlignment="1">
      <alignment horizontal="center" vertical="top" wrapText="1"/>
    </xf>
    <xf numFmtId="164" fontId="13" fillId="9" borderId="0" xfId="1" applyFont="1" applyFill="1" applyBorder="1" applyAlignment="1">
      <alignment horizontal="right" vertical="center"/>
    </xf>
    <xf numFmtId="164" fontId="14" fillId="9" borderId="0" xfId="0" applyNumberFormat="1" applyFont="1" applyFill="1" applyBorder="1"/>
    <xf numFmtId="0" fontId="9" fillId="8" borderId="1" xfId="0" applyFont="1" applyFill="1" applyBorder="1" applyAlignment="1">
      <alignment horizontal="center" vertical="center"/>
    </xf>
    <xf numFmtId="0" fontId="10" fillId="3" borderId="1" xfId="0" applyFont="1" applyFill="1" applyBorder="1" applyAlignment="1">
      <alignment vertical="center"/>
    </xf>
    <xf numFmtId="0" fontId="10" fillId="3" borderId="0" xfId="0" applyFont="1" applyFill="1" applyBorder="1" applyAlignment="1">
      <alignment vertical="center"/>
    </xf>
    <xf numFmtId="0" fontId="10" fillId="9" borderId="0" xfId="0" applyFont="1" applyFill="1" applyBorder="1" applyAlignment="1">
      <alignment vertical="center"/>
    </xf>
    <xf numFmtId="164" fontId="13" fillId="9" borderId="0" xfId="1" applyFont="1" applyFill="1" applyBorder="1" applyAlignment="1">
      <alignment horizontal="left" vertical="center"/>
    </xf>
    <xf numFmtId="0" fontId="2" fillId="8" borderId="1" xfId="0" applyFont="1" applyFill="1" applyBorder="1" applyAlignment="1">
      <alignment horizontal="center"/>
    </xf>
    <xf numFmtId="0" fontId="2" fillId="10" borderId="1" xfId="0" applyFont="1" applyFill="1" applyBorder="1" applyAlignment="1">
      <alignment horizontal="center"/>
    </xf>
    <xf numFmtId="0" fontId="15" fillId="0" borderId="1" xfId="0" applyFont="1" applyBorder="1"/>
    <xf numFmtId="14" fontId="0" fillId="3" borderId="0" xfId="0" applyNumberFormat="1" applyFill="1"/>
    <xf numFmtId="0" fontId="0" fillId="3" borderId="0" xfId="0" applyFill="1"/>
    <xf numFmtId="22" fontId="0" fillId="3" borderId="0" xfId="0" applyNumberFormat="1" applyFill="1"/>
    <xf numFmtId="0" fontId="16" fillId="0" borderId="1" xfId="0" applyFont="1" applyBorder="1"/>
    <xf numFmtId="49" fontId="0" fillId="0" borderId="0" xfId="0" applyNumberFormat="1"/>
    <xf numFmtId="14" fontId="2" fillId="12" borderId="1" xfId="0" applyNumberFormat="1" applyFont="1" applyFill="1" applyBorder="1" applyAlignment="1">
      <alignment horizontal="center" vertical="center"/>
    </xf>
    <xf numFmtId="0" fontId="2" fillId="13" borderId="1" xfId="0" applyFont="1" applyFill="1" applyBorder="1" applyAlignment="1">
      <alignment horizontal="center"/>
    </xf>
    <xf numFmtId="14" fontId="3" fillId="0" borderId="1" xfId="0" applyNumberFormat="1" applyFont="1" applyBorder="1" applyAlignment="1">
      <alignment horizontal="center" vertical="center"/>
    </xf>
    <xf numFmtId="0" fontId="0" fillId="0" borderId="1" xfId="0" applyBorder="1" applyAlignment="1">
      <alignment horizontal="center"/>
    </xf>
    <xf numFmtId="14" fontId="18" fillId="0" borderId="1" xfId="0" applyNumberFormat="1" applyFont="1" applyBorder="1" applyAlignment="1">
      <alignment horizontal="center" vertical="center"/>
    </xf>
    <xf numFmtId="0" fontId="2" fillId="8" borderId="0" xfId="0" applyFont="1" applyFill="1"/>
    <xf numFmtId="0" fontId="2" fillId="14" borderId="1" xfId="0" applyFont="1" applyFill="1" applyBorder="1" applyAlignment="1">
      <alignment horizontal="center"/>
    </xf>
    <xf numFmtId="0" fontId="9" fillId="0" borderId="1" xfId="0" applyFont="1" applyFill="1" applyBorder="1" applyAlignment="1">
      <alignment horizontal="center"/>
    </xf>
    <xf numFmtId="0" fontId="12" fillId="0" borderId="1" xfId="0" applyFont="1" applyFill="1" applyBorder="1" applyAlignment="1">
      <alignment vertical="top" wrapText="1"/>
    </xf>
    <xf numFmtId="0" fontId="2" fillId="9" borderId="0" xfId="0" applyFont="1" applyFill="1"/>
    <xf numFmtId="0" fontId="2" fillId="0" borderId="1" xfId="0" applyFont="1" applyBorder="1" applyAlignment="1">
      <alignment horizontal="center"/>
    </xf>
    <xf numFmtId="0" fontId="2" fillId="2" borderId="1" xfId="0" applyFont="1" applyFill="1" applyBorder="1" applyAlignment="1">
      <alignment horizontal="center"/>
    </xf>
    <xf numFmtId="0" fontId="9" fillId="2" borderId="1" xfId="0" applyFont="1" applyFill="1" applyBorder="1" applyAlignment="1">
      <alignment horizontal="center"/>
    </xf>
    <xf numFmtId="0" fontId="13" fillId="2" borderId="1" xfId="0" applyFont="1" applyFill="1" applyBorder="1" applyAlignment="1">
      <alignment horizontal="left" vertical="center"/>
    </xf>
    <xf numFmtId="1" fontId="11" fillId="2" borderId="1" xfId="0" applyNumberFormat="1" applyFont="1" applyFill="1" applyBorder="1" applyAlignment="1">
      <alignment horizontal="center" vertical="top" wrapText="1"/>
    </xf>
    <xf numFmtId="164" fontId="14" fillId="2" borderId="1" xfId="0" applyNumberFormat="1" applyFont="1" applyFill="1" applyBorder="1"/>
    <xf numFmtId="166" fontId="0" fillId="0" borderId="1" xfId="1" applyNumberFormat="1" applyFont="1" applyBorder="1" applyAlignment="1">
      <alignment horizontal="center"/>
    </xf>
    <xf numFmtId="0" fontId="2" fillId="15" borderId="1" xfId="0" applyFont="1" applyFill="1" applyBorder="1" applyAlignment="1">
      <alignment horizontal="center"/>
    </xf>
    <xf numFmtId="166" fontId="2" fillId="0" borderId="1" xfId="1" applyNumberFormat="1" applyFont="1" applyBorder="1" applyAlignment="1">
      <alignment horizontal="center"/>
    </xf>
  </cellXfs>
  <cellStyles count="2">
    <cellStyle name="Comma" xfId="1" builtinId="3"/>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_(* #,##0.00_);_(* \(#,##0.00\);_(* &quot;-&quot;??_);_(@_)"/>
      <fill>
        <patternFill patternType="none">
          <fgColor indexed="64"/>
          <bgColor auto="1"/>
        </patternFill>
      </fill>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9FF99"/>
      <color rgb="FF66FFFF"/>
      <color rgb="FF6CF894"/>
      <color rgb="FF57EE1A"/>
      <color rgb="FF00FFFF"/>
      <color rgb="FFCC99FF"/>
      <color rgb="FFFFCCFF"/>
      <color rgb="FF0000FF"/>
      <color rgb="FF00A29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55"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8" Type="http://schemas.microsoft.com/office/2023/09/relationships/Python" Target="pytho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511342</xdr:colOff>
      <xdr:row>9</xdr:row>
      <xdr:rowOff>168728</xdr:rowOff>
    </xdr:to>
    <mc:AlternateContent xmlns:mc="http://schemas.openxmlformats.org/markup-compatibility/2006" xmlns:sle15="http://schemas.microsoft.com/office/drawing/2012/slicer">
      <mc:Choice Requires="sle15">
        <xdr:graphicFrame macro="">
          <xdr:nvGraphicFramePr>
            <xdr:cNvPr id="2" name="OrderDate">
              <a:extLst>
                <a:ext uri="{FF2B5EF4-FFF2-40B4-BE49-F238E27FC236}">
                  <a16:creationId xmlns:a16="http://schemas.microsoft.com/office/drawing/2014/main" id="{EA8BB03C-E10C-43BE-BB28-9C62921D84CE}"/>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0" y="0"/>
              <a:ext cx="1358739" cy="182410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506495</xdr:colOff>
      <xdr:row>0</xdr:row>
      <xdr:rowOff>7282</xdr:rowOff>
    </xdr:from>
    <xdr:to>
      <xdr:col>2</xdr:col>
      <xdr:colOff>583293</xdr:colOff>
      <xdr:row>10</xdr:row>
      <xdr:rowOff>8619</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71C0C1E1-00D6-4386-B78B-CC5C7B94E6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0717" y="10457"/>
              <a:ext cx="1154108" cy="184064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580882</xdr:colOff>
      <xdr:row>0</xdr:row>
      <xdr:rowOff>0</xdr:rowOff>
    </xdr:from>
    <xdr:to>
      <xdr:col>3</xdr:col>
      <xdr:colOff>1083129</xdr:colOff>
      <xdr:row>10</xdr:row>
      <xdr:rowOff>30389</xdr:rowOff>
    </xdr:to>
    <mc:AlternateContent xmlns:mc="http://schemas.openxmlformats.org/markup-compatibility/2006" xmlns:sle15="http://schemas.microsoft.com/office/drawing/2012/slicer">
      <mc:Choice Requires="sle15">
        <xdr:graphicFrame macro="">
          <xdr:nvGraphicFramePr>
            <xdr:cNvPr id="4" name="Manager">
              <a:extLst>
                <a:ext uri="{FF2B5EF4-FFF2-40B4-BE49-F238E27FC236}">
                  <a16:creationId xmlns:a16="http://schemas.microsoft.com/office/drawing/2014/main" id="{8D2F4FA7-FEB6-491F-BE6F-E934E3515C73}"/>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2508764" y="0"/>
              <a:ext cx="1267641" cy="18665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1092509</xdr:colOff>
      <xdr:row>0</xdr:row>
      <xdr:rowOff>0</xdr:rowOff>
    </xdr:from>
    <xdr:to>
      <xdr:col>5</xdr:col>
      <xdr:colOff>370709</xdr:colOff>
      <xdr:row>10</xdr:row>
      <xdr:rowOff>7711</xdr:rowOff>
    </xdr:to>
    <mc:AlternateContent xmlns:mc="http://schemas.openxmlformats.org/markup-compatibility/2006" xmlns:sle15="http://schemas.microsoft.com/office/drawing/2012/slicer">
      <mc:Choice Requires="sle15">
        <xdr:graphicFrame macro="">
          <xdr:nvGraphicFramePr>
            <xdr:cNvPr id="5" name="SalesMan">
              <a:extLst>
                <a:ext uri="{FF2B5EF4-FFF2-40B4-BE49-F238E27FC236}">
                  <a16:creationId xmlns:a16="http://schemas.microsoft.com/office/drawing/2014/main" id="{1533B7CD-3D27-4C86-9DAF-335BCE48DF97}"/>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3788960" y="0"/>
              <a:ext cx="1505079" cy="185019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372658</xdr:colOff>
      <xdr:row>0</xdr:row>
      <xdr:rowOff>0</xdr:rowOff>
    </xdr:from>
    <xdr:to>
      <xdr:col>7</xdr:col>
      <xdr:colOff>181131</xdr:colOff>
      <xdr:row>10</xdr:row>
      <xdr:rowOff>8618</xdr:rowOff>
    </xdr:to>
    <mc:AlternateContent xmlns:mc="http://schemas.openxmlformats.org/markup-compatibility/2006" xmlns:sle15="http://schemas.microsoft.com/office/drawing/2012/slicer">
      <mc:Choice Requires="sle15">
        <xdr:graphicFrame macro="">
          <xdr:nvGraphicFramePr>
            <xdr:cNvPr id="6" name="Item">
              <a:extLst>
                <a:ext uri="{FF2B5EF4-FFF2-40B4-BE49-F238E27FC236}">
                  <a16:creationId xmlns:a16="http://schemas.microsoft.com/office/drawing/2014/main" id="{59B3945C-C3C0-49CD-8D2C-9AF8A67663F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289638" y="0"/>
              <a:ext cx="1621508" cy="185110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Imtiyaz  Alam" id="{4C4723D0-2164-495B-9317-0FC1AD9D544E}" userId="S::imtiyaz.a@technogen-edutech.com::7daf2829-c914-441b-bc5b-0bc6666939c5"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27602BC0-ED42-4784-A81C-C93488F74E91}" sourceName="OrderDa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7300B4-8F4C-4BE2-9DF8-72990D766018}" sourceName="Region">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3873D28D-2AED-42C7-B8ED-61D9D1F21153}" sourceName="Manager">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D2521533-A87A-443D-BAA0-A2EE20391240}" sourceName="SalesMan">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91A3CC7-EBC4-45D9-90B1-7F96D6397C05}" sourceName="Item">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F900FCCD-CCC1-4D85-A558-5C601B066907}" cache="Slicer_OrderDate" caption="OrderDate" rowHeight="241300"/>
  <slicer name="Region" xr10:uid="{AF4AE040-CB9A-4E2D-ADF8-1396F2696C2A}" cache="Slicer_Region" caption="Region" rowHeight="241300"/>
  <slicer name="Manager" xr10:uid="{E0C7E546-4281-4772-AC3A-BBEDD3523221}" cache="Slicer_Manager" caption="Manager" rowHeight="241300"/>
  <slicer name="SalesMan" xr10:uid="{5D9ABF8D-1D69-406B-919C-3A53C371D075}" cache="Slicer_SalesMan" caption="SalesMan" startItem="2" rowHeight="241300"/>
  <slicer name="Item" xr10:uid="{1B305174-027B-44B6-B51E-539265E3B579}" cache="Slicer_Item"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8DD596-9442-4454-98E8-579DAE9A39EB}" name="Table1" displayName="Table1" ref="A11:I21" totalsRowShown="0" headerRowDxfId="20" dataDxfId="18" headerRowBorderDxfId="19" tableBorderDxfId="17" totalsRowBorderDxfId="16">
  <autoFilter ref="A11:I21" xr:uid="{0D8DD596-9442-4454-98E8-579DAE9A39EB}"/>
  <tableColumns count="9">
    <tableColumn id="1" xr3:uid="{3A106489-FC41-4F48-8662-94BB1DB05CB6}" name="S.No." dataDxfId="15"/>
    <tableColumn id="2" xr3:uid="{8519A5FF-CEB7-4FC5-AC85-56C8906BED1B}" name="OrderDate" dataDxfId="14"/>
    <tableColumn id="3" xr3:uid="{F00F7B6D-BE5B-414B-861F-65A1416BF417}" name="Region" dataDxfId="13"/>
    <tableColumn id="4" xr3:uid="{51335E89-E990-4CE3-9C78-8714AACB3E7A}" name="Manager" dataDxfId="12"/>
    <tableColumn id="5" xr3:uid="{F852AE4D-2978-43FC-9553-D74A3B24400B}" name="SalesMan" dataDxfId="11"/>
    <tableColumn id="6" xr3:uid="{1F39CCFA-A89B-4224-ACF5-C39EF43CAB77}" name="Item" dataDxfId="10"/>
    <tableColumn id="7" xr3:uid="{C8925D8B-52E1-47F1-B235-64285CA46899}" name="Units" dataDxfId="9"/>
    <tableColumn id="8" xr3:uid="{AA48F3F0-8A84-47ED-B236-68CC140C3F45}" name="Unit_price" dataDxfId="8" dataCellStyle="Comma"/>
    <tableColumn id="9" xr3:uid="{26F7017E-51A2-4364-AF97-B97B5D9C9623}" name="Sale_amt" dataDxfId="7">
      <calculatedColumnFormula>Table1[[#This Row],[Units]]*Table1[[#This Row],[Unit_price]]</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DE48B5-13BC-4447-B975-C95FA8C1ECCE}">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5E6E-15CA-42E7-85D6-568C3BCDF332}">
  <sheetPr codeName="Sheet1">
    <tabColor rgb="FFFFFF00"/>
  </sheetPr>
  <dimension ref="A1:I57"/>
  <sheetViews>
    <sheetView zoomScale="175" zoomScaleNormal="175" workbookViewId="0">
      <pane xSplit="1" ySplit="1" topLeftCell="B2" activePane="bottomRight" state="frozen"/>
      <selection pane="topRight" activeCell="B1" sqref="B1"/>
      <selection pane="bottomLeft" activeCell="A2" sqref="A2"/>
      <selection pane="bottomRight" activeCell="C18" sqref="C18"/>
    </sheetView>
  </sheetViews>
  <sheetFormatPr defaultRowHeight="14.5" outlineLevelRow="2" x14ac:dyDescent="0.35"/>
  <cols>
    <col min="1" max="1" width="10.90625" customWidth="1"/>
    <col min="2" max="2" width="16.6328125" bestFit="1" customWidth="1"/>
    <col min="3" max="3" width="15.1796875" customWidth="1"/>
    <col min="4" max="4" width="16.1796875" customWidth="1"/>
    <col min="5" max="5" width="15.1796875" customWidth="1"/>
    <col min="6" max="6" width="16.1796875" customWidth="1"/>
    <col min="7" max="7" width="15.08984375" customWidth="1"/>
    <col min="8" max="9" width="13.81640625" customWidth="1"/>
    <col min="10" max="10" width="10.08984375" customWidth="1"/>
    <col min="11" max="11" width="10.7265625" bestFit="1" customWidth="1"/>
  </cols>
  <sheetData>
    <row r="1" spans="1:9" ht="15.5" x14ac:dyDescent="0.35">
      <c r="A1" s="40" t="s">
        <v>44</v>
      </c>
      <c r="B1" s="41" t="s">
        <v>0</v>
      </c>
      <c r="C1" s="42" t="s">
        <v>1</v>
      </c>
      <c r="D1" s="42" t="s">
        <v>2</v>
      </c>
      <c r="E1" s="42" t="s">
        <v>3</v>
      </c>
      <c r="F1" s="60" t="s">
        <v>4</v>
      </c>
      <c r="G1" s="42" t="s">
        <v>5</v>
      </c>
      <c r="H1" s="42" t="s">
        <v>6</v>
      </c>
      <c r="I1" s="42" t="s">
        <v>7</v>
      </c>
    </row>
    <row r="2" spans="1:9" ht="15.5" outlineLevel="2" x14ac:dyDescent="0.35">
      <c r="A2" s="43">
        <v>1</v>
      </c>
      <c r="B2" s="44">
        <v>43157</v>
      </c>
      <c r="C2" s="45" t="s">
        <v>12</v>
      </c>
      <c r="D2" s="46" t="s">
        <v>17</v>
      </c>
      <c r="E2" s="51" t="s">
        <v>18</v>
      </c>
      <c r="F2" s="54" t="s">
        <v>19</v>
      </c>
      <c r="G2" s="59">
        <v>27</v>
      </c>
      <c r="H2" s="57">
        <v>225</v>
      </c>
      <c r="I2" s="55">
        <f>G2*H2</f>
        <v>6075</v>
      </c>
    </row>
    <row r="3" spans="1:9" ht="15.5" outlineLevel="2" x14ac:dyDescent="0.35">
      <c r="A3" s="43">
        <v>2</v>
      </c>
      <c r="B3" s="44">
        <v>43225</v>
      </c>
      <c r="C3" s="45" t="s">
        <v>12</v>
      </c>
      <c r="D3" s="46" t="s">
        <v>13</v>
      </c>
      <c r="E3" s="51" t="s">
        <v>16</v>
      </c>
      <c r="F3" s="54" t="s">
        <v>19</v>
      </c>
      <c r="G3" s="59">
        <v>90</v>
      </c>
      <c r="H3" s="57">
        <v>1198</v>
      </c>
      <c r="I3" s="55">
        <f>G3*H3</f>
        <v>107820</v>
      </c>
    </row>
    <row r="4" spans="1:9" ht="15.5" outlineLevel="1" x14ac:dyDescent="0.35">
      <c r="A4" s="43"/>
      <c r="B4" s="44"/>
      <c r="C4" s="45"/>
      <c r="D4" s="46"/>
      <c r="E4" s="51"/>
      <c r="F4" s="65" t="s">
        <v>194</v>
      </c>
      <c r="G4" s="66"/>
      <c r="H4" s="67"/>
      <c r="I4" s="68">
        <f>SUBTOTAL(9,I2:I3)</f>
        <v>113895</v>
      </c>
    </row>
    <row r="5" spans="1:9" ht="15.5" outlineLevel="2" x14ac:dyDescent="0.35">
      <c r="A5" s="43">
        <v>3</v>
      </c>
      <c r="B5" s="44">
        <v>43123</v>
      </c>
      <c r="C5" s="45" t="s">
        <v>12</v>
      </c>
      <c r="D5" s="46" t="s">
        <v>13</v>
      </c>
      <c r="E5" s="51" t="s">
        <v>14</v>
      </c>
      <c r="F5" s="54" t="s">
        <v>15</v>
      </c>
      <c r="G5" s="59">
        <v>50</v>
      </c>
      <c r="H5" s="57">
        <v>400</v>
      </c>
      <c r="I5" s="55">
        <f>G5*H5</f>
        <v>20000</v>
      </c>
    </row>
    <row r="6" spans="1:9" ht="15.5" outlineLevel="2" x14ac:dyDescent="0.35">
      <c r="A6" s="43">
        <v>4</v>
      </c>
      <c r="B6" s="48">
        <v>43191</v>
      </c>
      <c r="C6" s="49" t="s">
        <v>8</v>
      </c>
      <c r="D6" s="50" t="s">
        <v>9</v>
      </c>
      <c r="E6" s="56" t="s">
        <v>10</v>
      </c>
      <c r="F6" s="54" t="s">
        <v>15</v>
      </c>
      <c r="G6" s="59">
        <v>60</v>
      </c>
      <c r="H6" s="57">
        <v>500</v>
      </c>
      <c r="I6" s="55">
        <f>G6*H6</f>
        <v>30000</v>
      </c>
    </row>
    <row r="7" spans="1:9" ht="15.5" outlineLevel="2" x14ac:dyDescent="0.35">
      <c r="A7" s="43">
        <v>5</v>
      </c>
      <c r="B7" s="44">
        <v>43259</v>
      </c>
      <c r="C7" s="45" t="s">
        <v>8</v>
      </c>
      <c r="D7" s="46" t="s">
        <v>9</v>
      </c>
      <c r="E7" s="51" t="s">
        <v>10</v>
      </c>
      <c r="F7" s="54" t="s">
        <v>15</v>
      </c>
      <c r="G7" s="59">
        <v>60</v>
      </c>
      <c r="H7" s="58">
        <v>500</v>
      </c>
      <c r="I7" s="55">
        <f>G7*H7</f>
        <v>30000</v>
      </c>
    </row>
    <row r="8" spans="1:9" ht="15.5" outlineLevel="1" x14ac:dyDescent="0.35">
      <c r="A8" s="43"/>
      <c r="B8" s="44"/>
      <c r="C8" s="45"/>
      <c r="D8" s="46"/>
      <c r="E8" s="51"/>
      <c r="F8" s="65" t="s">
        <v>195</v>
      </c>
      <c r="G8" s="66"/>
      <c r="H8" s="69"/>
      <c r="I8" s="68">
        <f>SUBTOTAL(9,I5:I7)</f>
        <v>80000</v>
      </c>
    </row>
    <row r="9" spans="1:9" ht="15.5" outlineLevel="2" x14ac:dyDescent="0.35">
      <c r="A9" s="43">
        <v>6</v>
      </c>
      <c r="B9" s="44">
        <v>43106</v>
      </c>
      <c r="C9" s="45" t="s">
        <v>8</v>
      </c>
      <c r="D9" s="46" t="s">
        <v>9</v>
      </c>
      <c r="E9" s="51" t="s">
        <v>10</v>
      </c>
      <c r="F9" s="54" t="s">
        <v>11</v>
      </c>
      <c r="G9" s="59">
        <v>95</v>
      </c>
      <c r="H9" s="57">
        <v>1198</v>
      </c>
      <c r="I9" s="55">
        <f>G9*H9</f>
        <v>113810</v>
      </c>
    </row>
    <row r="10" spans="1:9" ht="15.5" outlineLevel="2" x14ac:dyDescent="0.35">
      <c r="A10" s="43">
        <v>7</v>
      </c>
      <c r="B10" s="44">
        <v>43140</v>
      </c>
      <c r="C10" s="45" t="s">
        <v>12</v>
      </c>
      <c r="D10" s="46" t="s">
        <v>13</v>
      </c>
      <c r="E10" s="51" t="s">
        <v>16</v>
      </c>
      <c r="F10" s="54" t="s">
        <v>11</v>
      </c>
      <c r="G10" s="59">
        <v>36</v>
      </c>
      <c r="H10" s="57">
        <v>1198</v>
      </c>
      <c r="I10" s="55">
        <f>G10*H10</f>
        <v>43128</v>
      </c>
    </row>
    <row r="11" spans="1:9" ht="15.5" outlineLevel="2" x14ac:dyDescent="0.35">
      <c r="A11" s="43">
        <v>8</v>
      </c>
      <c r="B11" s="48">
        <v>43174</v>
      </c>
      <c r="C11" s="49" t="s">
        <v>20</v>
      </c>
      <c r="D11" s="50" t="s">
        <v>17</v>
      </c>
      <c r="E11" s="56" t="s">
        <v>21</v>
      </c>
      <c r="F11" s="54" t="s">
        <v>11</v>
      </c>
      <c r="G11" s="59">
        <v>56</v>
      </c>
      <c r="H11" s="57">
        <v>1198</v>
      </c>
      <c r="I11" s="55">
        <f>G11*H11</f>
        <v>67088</v>
      </c>
    </row>
    <row r="12" spans="1:9" ht="15.5" outlineLevel="2" x14ac:dyDescent="0.35">
      <c r="A12" s="43">
        <v>9</v>
      </c>
      <c r="B12" s="44">
        <v>43208</v>
      </c>
      <c r="C12" s="45" t="s">
        <v>12</v>
      </c>
      <c r="D12" s="47" t="s">
        <v>9</v>
      </c>
      <c r="E12" s="51" t="s">
        <v>22</v>
      </c>
      <c r="F12" s="54" t="s">
        <v>11</v>
      </c>
      <c r="G12" s="59">
        <v>75</v>
      </c>
      <c r="H12" s="57">
        <v>1198</v>
      </c>
      <c r="I12" s="55">
        <f>G12*H12</f>
        <v>89850</v>
      </c>
    </row>
    <row r="13" spans="1:9" ht="15.5" outlineLevel="2" x14ac:dyDescent="0.35">
      <c r="A13" s="43">
        <v>10</v>
      </c>
      <c r="B13" s="44">
        <v>43242</v>
      </c>
      <c r="C13" s="45" t="s">
        <v>20</v>
      </c>
      <c r="D13" s="51" t="s">
        <v>23</v>
      </c>
      <c r="E13" s="51" t="s">
        <v>24</v>
      </c>
      <c r="F13" s="54" t="s">
        <v>11</v>
      </c>
      <c r="G13" s="59">
        <v>32</v>
      </c>
      <c r="H13" s="58">
        <v>1198</v>
      </c>
      <c r="I13" s="55">
        <f>G13*H13</f>
        <v>38336</v>
      </c>
    </row>
    <row r="14" spans="1:9" ht="15.5" outlineLevel="1" x14ac:dyDescent="0.35">
      <c r="A14" s="61"/>
      <c r="B14" s="62"/>
      <c r="C14" s="63"/>
      <c r="D14" s="64"/>
      <c r="E14" s="64"/>
      <c r="F14" s="70" t="s">
        <v>196</v>
      </c>
      <c r="G14" s="71"/>
      <c r="H14" s="72"/>
      <c r="I14" s="73">
        <f>SUBTOTAL(9,I9:I13)</f>
        <v>352212</v>
      </c>
    </row>
    <row r="15" spans="1:9" ht="15.5" x14ac:dyDescent="0.35">
      <c r="A15" s="61"/>
      <c r="B15" s="62"/>
      <c r="C15" s="63"/>
      <c r="D15" s="64"/>
      <c r="E15" s="64"/>
      <c r="F15" s="74" t="s">
        <v>197</v>
      </c>
      <c r="G15" s="75"/>
      <c r="H15" s="76"/>
      <c r="I15" s="77">
        <f>SUBTOTAL(9,I2:I13)</f>
        <v>546107</v>
      </c>
    </row>
    <row r="52" spans="2:3" x14ac:dyDescent="0.35">
      <c r="B52" s="31" t="s">
        <v>193</v>
      </c>
      <c r="C52" s="52">
        <f>SUM(I2:I13)</f>
        <v>740002</v>
      </c>
    </row>
    <row r="53" spans="2:3" x14ac:dyDescent="0.35">
      <c r="B53" s="31" t="s">
        <v>192</v>
      </c>
      <c r="C53" s="53" t="str" cm="1">
        <f t="array" ref="C53:C57">_xlfn.UNIQUE(F2:F13)</f>
        <v>Cell Phone</v>
      </c>
    </row>
    <row r="54" spans="2:3" x14ac:dyDescent="0.35">
      <c r="C54" t="str">
        <v>Cell Phone Total</v>
      </c>
    </row>
    <row r="55" spans="2:3" x14ac:dyDescent="0.35">
      <c r="C55" t="str">
        <v>Home Theater</v>
      </c>
    </row>
    <row r="56" spans="2:3" x14ac:dyDescent="0.35">
      <c r="C56" t="str">
        <v>Home Theater Total</v>
      </c>
    </row>
    <row r="57" spans="2:3" x14ac:dyDescent="0.35">
      <c r="C57" t="str">
        <v>Television</v>
      </c>
    </row>
  </sheetData>
  <autoFilter ref="A1:I1" xr:uid="{BAF55E6E-15CA-42E7-85D6-568C3BCDF332}">
    <sortState xmlns:xlrd2="http://schemas.microsoft.com/office/spreadsheetml/2017/richdata2" ref="A2:I11">
      <sortCondition ref="F1"/>
    </sortState>
  </autoFilter>
  <conditionalFormatting sqref="A43:A1048576 A1:A15">
    <cfRule type="duplicateValues" dxfId="6" priority="5"/>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8A6C3-27CC-4DD0-9354-F8BB48921BD5}">
  <sheetPr codeName="Sheet3"/>
  <dimension ref="A1:G11"/>
  <sheetViews>
    <sheetView zoomScale="220" zoomScaleNormal="220" workbookViewId="0">
      <pane ySplit="1" topLeftCell="A2" activePane="bottomLeft" state="frozen"/>
      <selection pane="bottomLeft" activeCell="C15" sqref="C15"/>
    </sheetView>
  </sheetViews>
  <sheetFormatPr defaultColWidth="22.08984375" defaultRowHeight="14.5" x14ac:dyDescent="0.35"/>
  <cols>
    <col min="1" max="1" width="9.6328125" style="2" customWidth="1"/>
    <col min="2" max="2" width="14.453125" style="2" customWidth="1"/>
    <col min="3" max="3" width="11.08984375" customWidth="1"/>
    <col min="4" max="4" width="14.26953125" customWidth="1"/>
    <col min="5" max="5" width="13.6328125" customWidth="1"/>
    <col min="6" max="6" width="12" style="2" customWidth="1"/>
    <col min="7" max="7" width="18.90625" style="2" customWidth="1"/>
    <col min="8" max="8" width="14.08984375" customWidth="1"/>
    <col min="9" max="9" width="14.36328125" customWidth="1"/>
  </cols>
  <sheetData>
    <row r="1" spans="1:7" x14ac:dyDescent="0.35">
      <c r="A1" s="3" t="s">
        <v>27</v>
      </c>
      <c r="B1" s="3" t="s">
        <v>0</v>
      </c>
      <c r="C1" s="3" t="s">
        <v>1</v>
      </c>
      <c r="D1" s="3" t="s">
        <v>4</v>
      </c>
      <c r="E1" s="3" t="s">
        <v>32</v>
      </c>
      <c r="F1" s="3" t="s">
        <v>33</v>
      </c>
      <c r="G1" s="3" t="s">
        <v>28</v>
      </c>
    </row>
    <row r="2" spans="1:7" x14ac:dyDescent="0.35">
      <c r="A2" s="5">
        <v>1</v>
      </c>
      <c r="B2" s="6">
        <v>43106</v>
      </c>
      <c r="C2" s="7" t="s">
        <v>8</v>
      </c>
      <c r="D2" s="7" t="s">
        <v>11</v>
      </c>
      <c r="E2" s="7" t="s">
        <v>29</v>
      </c>
      <c r="F2" s="5" t="s">
        <v>34</v>
      </c>
      <c r="G2" s="6">
        <v>43110</v>
      </c>
    </row>
    <row r="3" spans="1:7" x14ac:dyDescent="0.35">
      <c r="A3" s="5">
        <v>2</v>
      </c>
      <c r="B3" s="6">
        <v>43123</v>
      </c>
      <c r="C3" s="7" t="s">
        <v>12</v>
      </c>
      <c r="D3" s="7" t="s">
        <v>15</v>
      </c>
      <c r="E3" s="7" t="s">
        <v>30</v>
      </c>
      <c r="F3" s="5" t="s">
        <v>35</v>
      </c>
      <c r="G3" s="6">
        <v>43128</v>
      </c>
    </row>
    <row r="4" spans="1:7" x14ac:dyDescent="0.35">
      <c r="A4" s="5">
        <v>3</v>
      </c>
      <c r="B4" s="6">
        <v>43140</v>
      </c>
      <c r="C4" s="7" t="s">
        <v>12</v>
      </c>
      <c r="D4" s="7" t="s">
        <v>11</v>
      </c>
      <c r="E4" s="7" t="s">
        <v>29</v>
      </c>
      <c r="F4" s="5" t="s">
        <v>36</v>
      </c>
      <c r="G4" s="6">
        <v>43145</v>
      </c>
    </row>
    <row r="5" spans="1:7" x14ac:dyDescent="0.35">
      <c r="A5" s="5">
        <v>4</v>
      </c>
      <c r="B5" s="6">
        <v>43157</v>
      </c>
      <c r="C5" s="7" t="s">
        <v>12</v>
      </c>
      <c r="D5" s="7" t="s">
        <v>19</v>
      </c>
      <c r="E5" s="7" t="s">
        <v>31</v>
      </c>
      <c r="F5" s="5" t="s">
        <v>37</v>
      </c>
      <c r="G5" s="6">
        <v>43160</v>
      </c>
    </row>
    <row r="6" spans="1:7" x14ac:dyDescent="0.35">
      <c r="A6" s="5">
        <v>5</v>
      </c>
      <c r="B6" s="6">
        <v>43174</v>
      </c>
      <c r="C6" s="7" t="s">
        <v>20</v>
      </c>
      <c r="D6" s="7" t="s">
        <v>11</v>
      </c>
      <c r="E6" s="7" t="s">
        <v>29</v>
      </c>
      <c r="F6" s="5" t="s">
        <v>38</v>
      </c>
      <c r="G6" s="6">
        <v>43179</v>
      </c>
    </row>
    <row r="7" spans="1:7" x14ac:dyDescent="0.35">
      <c r="A7" s="5">
        <v>11</v>
      </c>
      <c r="B7" s="6">
        <v>43784</v>
      </c>
      <c r="C7" s="7" t="s">
        <v>8</v>
      </c>
      <c r="D7" s="7" t="s">
        <v>26</v>
      </c>
      <c r="E7" s="7" t="s">
        <v>29</v>
      </c>
      <c r="F7" s="5" t="s">
        <v>39</v>
      </c>
      <c r="G7" s="6">
        <v>43789</v>
      </c>
    </row>
    <row r="8" spans="1:7" x14ac:dyDescent="0.35">
      <c r="A8" s="5">
        <v>12</v>
      </c>
      <c r="B8" s="6">
        <v>43800</v>
      </c>
      <c r="C8" s="7" t="s">
        <v>20</v>
      </c>
      <c r="D8" s="7" t="s">
        <v>25</v>
      </c>
      <c r="E8" s="7" t="s">
        <v>30</v>
      </c>
      <c r="F8" s="5" t="s">
        <v>40</v>
      </c>
      <c r="G8" s="6">
        <v>43804</v>
      </c>
    </row>
    <row r="9" spans="1:7" x14ac:dyDescent="0.35">
      <c r="A9" s="5">
        <v>13</v>
      </c>
      <c r="B9" s="6">
        <v>43814</v>
      </c>
      <c r="C9" s="7" t="s">
        <v>12</v>
      </c>
      <c r="D9" s="7" t="s">
        <v>19</v>
      </c>
      <c r="E9" s="7" t="s">
        <v>31</v>
      </c>
      <c r="F9" s="5" t="s">
        <v>41</v>
      </c>
      <c r="G9" s="6">
        <v>43819</v>
      </c>
    </row>
    <row r="10" spans="1:7" x14ac:dyDescent="0.35">
      <c r="A10" s="5">
        <v>14</v>
      </c>
      <c r="B10" s="6">
        <v>43835</v>
      </c>
      <c r="C10" s="7" t="s">
        <v>8</v>
      </c>
      <c r="D10" s="7" t="s">
        <v>11</v>
      </c>
      <c r="E10" s="7" t="s">
        <v>29</v>
      </c>
      <c r="F10" s="5" t="s">
        <v>42</v>
      </c>
      <c r="G10" s="6">
        <v>43840</v>
      </c>
    </row>
    <row r="11" spans="1:7" x14ac:dyDescent="0.35">
      <c r="A11" s="5">
        <v>15</v>
      </c>
      <c r="B11" s="6">
        <v>43850</v>
      </c>
      <c r="C11" s="7" t="s">
        <v>12</v>
      </c>
      <c r="D11" s="7" t="s">
        <v>15</v>
      </c>
      <c r="E11" s="7" t="s">
        <v>29</v>
      </c>
      <c r="F11" s="5" t="s">
        <v>43</v>
      </c>
      <c r="G11" s="6">
        <v>43855</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0C58D-BCE0-46CE-99F4-01D1A6556163}">
  <sheetPr>
    <tabColor rgb="FFFFFF00"/>
  </sheetPr>
  <dimension ref="A2:I21"/>
  <sheetViews>
    <sheetView zoomScale="145" zoomScaleNormal="145" workbookViewId="0">
      <pane ySplit="11" topLeftCell="A12" activePane="bottomLeft" state="frozen"/>
      <selection pane="bottomLeft" activeCell="K23" sqref="K23"/>
    </sheetView>
  </sheetViews>
  <sheetFormatPr defaultRowHeight="14.5" x14ac:dyDescent="0.35"/>
  <cols>
    <col min="1" max="1" width="12.08984375" bestFit="1" customWidth="1"/>
    <col min="2" max="2" width="15.453125" customWidth="1"/>
    <col min="3" max="3" width="11" customWidth="1"/>
    <col min="4" max="4" width="16.81640625" customWidth="1"/>
    <col min="5" max="5" width="15.1796875" customWidth="1"/>
    <col min="6" max="6" width="16.1796875" customWidth="1"/>
    <col min="7" max="7" width="9.7265625" customWidth="1"/>
    <col min="8" max="9" width="13.81640625" customWidth="1"/>
    <col min="10" max="10" width="6.81640625" bestFit="1" customWidth="1"/>
    <col min="11" max="11" width="10.7265625" bestFit="1" customWidth="1"/>
  </cols>
  <sheetData>
    <row r="2" spans="1:9" x14ac:dyDescent="0.35">
      <c r="I2" s="31" t="s">
        <v>45</v>
      </c>
    </row>
    <row r="3" spans="1:9" x14ac:dyDescent="0.35">
      <c r="I3" s="32">
        <f>SUBTOTAL(9, Table1[Sale_amt])</f>
        <v>546107</v>
      </c>
    </row>
    <row r="11" spans="1:9" x14ac:dyDescent="0.35">
      <c r="A11" s="15" t="s">
        <v>44</v>
      </c>
      <c r="B11" s="16" t="s">
        <v>0</v>
      </c>
      <c r="C11" s="17" t="s">
        <v>1</v>
      </c>
      <c r="D11" s="17" t="s">
        <v>2</v>
      </c>
      <c r="E11" s="17" t="s">
        <v>3</v>
      </c>
      <c r="F11" s="17" t="s">
        <v>4</v>
      </c>
      <c r="G11" s="17" t="s">
        <v>5</v>
      </c>
      <c r="H11" s="17" t="s">
        <v>6</v>
      </c>
      <c r="I11" s="18" t="s">
        <v>7</v>
      </c>
    </row>
    <row r="12" spans="1:9" x14ac:dyDescent="0.35">
      <c r="A12" s="19">
        <v>1</v>
      </c>
      <c r="B12" s="8">
        <v>43106</v>
      </c>
      <c r="C12" s="9" t="s">
        <v>8</v>
      </c>
      <c r="D12" s="10" t="s">
        <v>9</v>
      </c>
      <c r="E12" s="11" t="s">
        <v>10</v>
      </c>
      <c r="F12" s="11" t="s">
        <v>11</v>
      </c>
      <c r="G12" s="20">
        <v>95</v>
      </c>
      <c r="H12" s="1">
        <v>1198</v>
      </c>
      <c r="I12" s="13">
        <f>Table1[[#This Row],[Units]]*Table1[[#This Row],[Unit_price]]</f>
        <v>113810</v>
      </c>
    </row>
    <row r="13" spans="1:9" x14ac:dyDescent="0.35">
      <c r="A13" s="19">
        <v>2</v>
      </c>
      <c r="B13" s="8">
        <v>43123</v>
      </c>
      <c r="C13" s="9" t="s">
        <v>12</v>
      </c>
      <c r="D13" s="10" t="s">
        <v>13</v>
      </c>
      <c r="E13" s="11" t="s">
        <v>14</v>
      </c>
      <c r="F13" s="12" t="s">
        <v>15</v>
      </c>
      <c r="G13" s="21">
        <v>50</v>
      </c>
      <c r="H13" s="1">
        <v>400</v>
      </c>
      <c r="I13" s="13">
        <f>Table1[[#This Row],[Units]]*Table1[[#This Row],[Unit_price]]</f>
        <v>20000</v>
      </c>
    </row>
    <row r="14" spans="1:9" x14ac:dyDescent="0.35">
      <c r="A14" s="19">
        <v>3</v>
      </c>
      <c r="B14" s="8">
        <v>43140</v>
      </c>
      <c r="C14" s="9" t="s">
        <v>12</v>
      </c>
      <c r="D14" s="10" t="s">
        <v>13</v>
      </c>
      <c r="E14" s="11" t="s">
        <v>16</v>
      </c>
      <c r="F14" s="12" t="s">
        <v>11</v>
      </c>
      <c r="G14" s="21">
        <v>36</v>
      </c>
      <c r="H14" s="1">
        <v>1198</v>
      </c>
      <c r="I14" s="13">
        <f>Table1[[#This Row],[Units]]*Table1[[#This Row],[Unit_price]]</f>
        <v>43128</v>
      </c>
    </row>
    <row r="15" spans="1:9" x14ac:dyDescent="0.35">
      <c r="A15" s="19">
        <v>4</v>
      </c>
      <c r="B15" s="8">
        <v>43157</v>
      </c>
      <c r="C15" s="9" t="s">
        <v>12</v>
      </c>
      <c r="D15" s="10" t="s">
        <v>17</v>
      </c>
      <c r="E15" s="11" t="s">
        <v>18</v>
      </c>
      <c r="F15" s="12" t="s">
        <v>19</v>
      </c>
      <c r="G15" s="21">
        <v>27</v>
      </c>
      <c r="H15" s="1">
        <v>225</v>
      </c>
      <c r="I15" s="13">
        <f>Table1[[#This Row],[Units]]*Table1[[#This Row],[Unit_price]]</f>
        <v>6075</v>
      </c>
    </row>
    <row r="16" spans="1:9" x14ac:dyDescent="0.35">
      <c r="A16" s="19">
        <v>5</v>
      </c>
      <c r="B16" s="8">
        <v>43174</v>
      </c>
      <c r="C16" s="9" t="s">
        <v>20</v>
      </c>
      <c r="D16" s="10" t="s">
        <v>17</v>
      </c>
      <c r="E16" s="11" t="s">
        <v>21</v>
      </c>
      <c r="F16" s="12" t="s">
        <v>11</v>
      </c>
      <c r="G16" s="21">
        <v>56</v>
      </c>
      <c r="H16" s="1">
        <v>1198</v>
      </c>
      <c r="I16" s="13">
        <f>Table1[[#This Row],[Units]]*Table1[[#This Row],[Unit_price]]</f>
        <v>67088</v>
      </c>
    </row>
    <row r="17" spans="1:9" x14ac:dyDescent="0.35">
      <c r="A17" s="19">
        <v>6</v>
      </c>
      <c r="B17" s="8">
        <v>43191</v>
      </c>
      <c r="C17" s="9" t="s">
        <v>8</v>
      </c>
      <c r="D17" s="10" t="s">
        <v>9</v>
      </c>
      <c r="E17" s="11" t="s">
        <v>10</v>
      </c>
      <c r="F17" s="12" t="s">
        <v>15</v>
      </c>
      <c r="G17" s="21">
        <v>60</v>
      </c>
      <c r="H17" s="1">
        <v>500</v>
      </c>
      <c r="I17" s="13">
        <f>Table1[[#This Row],[Units]]*Table1[[#This Row],[Unit_price]]</f>
        <v>30000</v>
      </c>
    </row>
    <row r="18" spans="1:9" x14ac:dyDescent="0.35">
      <c r="A18" s="19">
        <v>7</v>
      </c>
      <c r="B18" s="8">
        <v>43208</v>
      </c>
      <c r="C18" s="9" t="s">
        <v>12</v>
      </c>
      <c r="D18" s="11" t="s">
        <v>9</v>
      </c>
      <c r="E18" s="11" t="s">
        <v>22</v>
      </c>
      <c r="F18" s="12" t="s">
        <v>11</v>
      </c>
      <c r="G18" s="21">
        <v>75</v>
      </c>
      <c r="H18" s="1">
        <v>1198</v>
      </c>
      <c r="I18" s="13">
        <f>Table1[[#This Row],[Units]]*Table1[[#This Row],[Unit_price]]</f>
        <v>89850</v>
      </c>
    </row>
    <row r="19" spans="1:9" x14ac:dyDescent="0.35">
      <c r="A19" s="19">
        <v>8</v>
      </c>
      <c r="B19" s="8">
        <v>43225</v>
      </c>
      <c r="C19" s="9" t="s">
        <v>12</v>
      </c>
      <c r="D19" s="10" t="s">
        <v>13</v>
      </c>
      <c r="E19" s="11" t="s">
        <v>16</v>
      </c>
      <c r="F19" s="12" t="s">
        <v>11</v>
      </c>
      <c r="G19" s="21">
        <v>90</v>
      </c>
      <c r="H19" s="1">
        <v>1198</v>
      </c>
      <c r="I19" s="13">
        <f>Table1[[#This Row],[Units]]*Table1[[#This Row],[Unit_price]]</f>
        <v>107820</v>
      </c>
    </row>
    <row r="20" spans="1:9" x14ac:dyDescent="0.35">
      <c r="A20" s="19">
        <v>9</v>
      </c>
      <c r="B20" s="8">
        <v>43242</v>
      </c>
      <c r="C20" s="9" t="s">
        <v>20</v>
      </c>
      <c r="D20" s="22" t="s">
        <v>23</v>
      </c>
      <c r="E20" s="11" t="s">
        <v>24</v>
      </c>
      <c r="F20" s="12" t="s">
        <v>11</v>
      </c>
      <c r="G20" s="21">
        <v>32</v>
      </c>
      <c r="H20" s="4">
        <v>1198</v>
      </c>
      <c r="I20" s="13">
        <f>Table1[[#This Row],[Units]]*Table1[[#This Row],[Unit_price]]</f>
        <v>38336</v>
      </c>
    </row>
    <row r="21" spans="1:9" x14ac:dyDescent="0.35">
      <c r="A21" s="23">
        <v>10</v>
      </c>
      <c r="B21" s="24">
        <v>43259</v>
      </c>
      <c r="C21" s="25" t="s">
        <v>8</v>
      </c>
      <c r="D21" s="26" t="s">
        <v>9</v>
      </c>
      <c r="E21" s="27" t="s">
        <v>10</v>
      </c>
      <c r="F21" s="28" t="s">
        <v>15</v>
      </c>
      <c r="G21" s="29">
        <v>60</v>
      </c>
      <c r="H21" s="14">
        <v>500</v>
      </c>
      <c r="I21" s="30">
        <f>Table1[[#This Row],[Units]]*Table1[[#This Row],[Unit_price]]</f>
        <v>30000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793C-F6CE-44CB-95DF-4E47023F0D7F}">
  <dimension ref="A1:M20"/>
  <sheetViews>
    <sheetView topLeftCell="D1" zoomScale="180" zoomScaleNormal="180" workbookViewId="0">
      <selection activeCell="J16" sqref="J16"/>
    </sheetView>
  </sheetViews>
  <sheetFormatPr defaultRowHeight="14.5" x14ac:dyDescent="0.35"/>
  <cols>
    <col min="1" max="1" width="18.54296875" bestFit="1" customWidth="1"/>
    <col min="2" max="2" width="12.54296875" customWidth="1"/>
    <col min="3" max="3" width="13.81640625" customWidth="1"/>
    <col min="7" max="7" width="18.54296875" bestFit="1" customWidth="1"/>
    <col min="8" max="8" width="15.7265625" customWidth="1"/>
    <col min="11" max="11" width="10.6328125" customWidth="1"/>
  </cols>
  <sheetData>
    <row r="1" spans="1:13" x14ac:dyDescent="0.35">
      <c r="A1" s="33" t="s">
        <v>46</v>
      </c>
      <c r="B1" s="35" t="s">
        <v>65</v>
      </c>
      <c r="C1" s="36" t="s">
        <v>66</v>
      </c>
      <c r="G1" s="33" t="s">
        <v>46</v>
      </c>
      <c r="H1" s="37" t="s">
        <v>103</v>
      </c>
      <c r="K1" s="38" t="s">
        <v>122</v>
      </c>
      <c r="L1" s="39" t="s">
        <v>135</v>
      </c>
    </row>
    <row r="2" spans="1:13" x14ac:dyDescent="0.35">
      <c r="A2" s="34" t="s">
        <v>47</v>
      </c>
      <c r="B2" s="34" t="s">
        <v>67</v>
      </c>
      <c r="C2" s="34" t="s">
        <v>85</v>
      </c>
      <c r="G2" s="34" t="s">
        <v>47</v>
      </c>
      <c r="H2" t="s">
        <v>104</v>
      </c>
      <c r="K2" t="s">
        <v>123</v>
      </c>
      <c r="L2" t="s">
        <v>136</v>
      </c>
      <c r="M2" t="s">
        <v>147</v>
      </c>
    </row>
    <row r="3" spans="1:13" x14ac:dyDescent="0.35">
      <c r="A3" s="34" t="s">
        <v>48</v>
      </c>
      <c r="B3" s="34" t="s">
        <v>68</v>
      </c>
      <c r="C3" s="34" t="s">
        <v>86</v>
      </c>
      <c r="G3" s="34" t="s">
        <v>48</v>
      </c>
      <c r="H3" t="s">
        <v>105</v>
      </c>
      <c r="K3" t="s">
        <v>124</v>
      </c>
      <c r="L3" t="s">
        <v>137</v>
      </c>
      <c r="M3" t="s">
        <v>148</v>
      </c>
    </row>
    <row r="4" spans="1:13" x14ac:dyDescent="0.35">
      <c r="A4" s="34" t="s">
        <v>49</v>
      </c>
      <c r="B4" s="34" t="s">
        <v>69</v>
      </c>
      <c r="C4" s="34" t="s">
        <v>87</v>
      </c>
      <c r="G4" s="34" t="s">
        <v>49</v>
      </c>
      <c r="H4" t="s">
        <v>106</v>
      </c>
      <c r="K4" t="s">
        <v>125</v>
      </c>
      <c r="L4" t="s">
        <v>138</v>
      </c>
      <c r="M4" t="s">
        <v>149</v>
      </c>
    </row>
    <row r="5" spans="1:13" x14ac:dyDescent="0.35">
      <c r="A5" s="34" t="s">
        <v>50</v>
      </c>
      <c r="B5" s="34" t="s">
        <v>70</v>
      </c>
      <c r="C5" s="34" t="s">
        <v>88</v>
      </c>
      <c r="G5" s="34" t="s">
        <v>50</v>
      </c>
      <c r="H5" t="s">
        <v>107</v>
      </c>
      <c r="K5" t="s">
        <v>126</v>
      </c>
      <c r="L5" t="s">
        <v>139</v>
      </c>
      <c r="M5" t="s">
        <v>150</v>
      </c>
    </row>
    <row r="6" spans="1:13" x14ac:dyDescent="0.35">
      <c r="A6" s="34" t="s">
        <v>51</v>
      </c>
      <c r="B6" s="34" t="s">
        <v>71</v>
      </c>
      <c r="C6" s="34" t="s">
        <v>89</v>
      </c>
      <c r="G6" s="34" t="s">
        <v>51</v>
      </c>
      <c r="H6" t="s">
        <v>108</v>
      </c>
      <c r="K6" t="s">
        <v>127</v>
      </c>
      <c r="L6" t="s">
        <v>127</v>
      </c>
      <c r="M6" t="s">
        <v>149</v>
      </c>
    </row>
    <row r="7" spans="1:13" x14ac:dyDescent="0.35">
      <c r="A7" s="34" t="s">
        <v>52</v>
      </c>
      <c r="B7" s="34" t="s">
        <v>72</v>
      </c>
      <c r="C7" s="34" t="s">
        <v>90</v>
      </c>
      <c r="G7" s="34" t="s">
        <v>52</v>
      </c>
      <c r="H7" t="s">
        <v>109</v>
      </c>
      <c r="K7" t="s">
        <v>128</v>
      </c>
      <c r="L7" t="s">
        <v>140</v>
      </c>
      <c r="M7" t="s">
        <v>147</v>
      </c>
    </row>
    <row r="8" spans="1:13" x14ac:dyDescent="0.35">
      <c r="A8" s="34" t="s">
        <v>53</v>
      </c>
      <c r="B8" s="34" t="s">
        <v>73</v>
      </c>
      <c r="C8" s="34" t="s">
        <v>91</v>
      </c>
      <c r="G8" s="34" t="s">
        <v>53</v>
      </c>
      <c r="H8" t="s">
        <v>110</v>
      </c>
      <c r="K8" t="s">
        <v>129</v>
      </c>
      <c r="L8" t="s">
        <v>141</v>
      </c>
      <c r="M8" t="s">
        <v>147</v>
      </c>
    </row>
    <row r="9" spans="1:13" x14ac:dyDescent="0.35">
      <c r="A9" s="34" t="s">
        <v>54</v>
      </c>
      <c r="B9" s="34" t="s">
        <v>74</v>
      </c>
      <c r="C9" s="34" t="s">
        <v>92</v>
      </c>
      <c r="G9" s="34" t="s">
        <v>54</v>
      </c>
      <c r="H9" t="s">
        <v>111</v>
      </c>
      <c r="K9" t="s">
        <v>130</v>
      </c>
      <c r="L9" t="s">
        <v>142</v>
      </c>
      <c r="M9" t="s">
        <v>150</v>
      </c>
    </row>
    <row r="10" spans="1:13" x14ac:dyDescent="0.35">
      <c r="A10" s="34" t="s">
        <v>55</v>
      </c>
      <c r="B10" s="34" t="s">
        <v>75</v>
      </c>
      <c r="C10" s="34" t="s">
        <v>93</v>
      </c>
      <c r="G10" s="34" t="s">
        <v>55</v>
      </c>
      <c r="H10" t="s">
        <v>112</v>
      </c>
      <c r="K10" t="s">
        <v>131</v>
      </c>
      <c r="L10" t="s">
        <v>143</v>
      </c>
      <c r="M10" t="s">
        <v>151</v>
      </c>
    </row>
    <row r="11" spans="1:13" x14ac:dyDescent="0.35">
      <c r="A11" s="34" t="s">
        <v>48</v>
      </c>
      <c r="B11" s="34" t="s">
        <v>68</v>
      </c>
      <c r="C11" s="34" t="s">
        <v>86</v>
      </c>
      <c r="G11" s="34" t="s">
        <v>48</v>
      </c>
      <c r="H11" t="s">
        <v>105</v>
      </c>
      <c r="K11" t="s">
        <v>132</v>
      </c>
      <c r="L11" t="s">
        <v>144</v>
      </c>
      <c r="M11" t="s">
        <v>152</v>
      </c>
    </row>
    <row r="12" spans="1:13" x14ac:dyDescent="0.35">
      <c r="A12" s="34" t="s">
        <v>56</v>
      </c>
      <c r="B12" s="34" t="s">
        <v>76</v>
      </c>
      <c r="C12" s="34" t="s">
        <v>94</v>
      </c>
      <c r="G12" s="34" t="s">
        <v>56</v>
      </c>
      <c r="H12" t="s">
        <v>113</v>
      </c>
      <c r="K12" t="s">
        <v>133</v>
      </c>
      <c r="L12" t="s">
        <v>145</v>
      </c>
      <c r="M12" t="s">
        <v>153</v>
      </c>
    </row>
    <row r="13" spans="1:13" x14ac:dyDescent="0.35">
      <c r="A13" s="34" t="s">
        <v>57</v>
      </c>
      <c r="B13" s="34" t="s">
        <v>77</v>
      </c>
      <c r="C13" s="34" t="s">
        <v>95</v>
      </c>
      <c r="G13" s="34" t="s">
        <v>57</v>
      </c>
      <c r="H13" t="s">
        <v>114</v>
      </c>
      <c r="K13" t="s">
        <v>134</v>
      </c>
      <c r="L13" t="s">
        <v>146</v>
      </c>
      <c r="M13" t="s">
        <v>154</v>
      </c>
    </row>
    <row r="14" spans="1:13" x14ac:dyDescent="0.35">
      <c r="A14" s="34" t="s">
        <v>58</v>
      </c>
      <c r="B14" s="34" t="s">
        <v>78</v>
      </c>
      <c r="C14" s="34" t="s">
        <v>96</v>
      </c>
      <c r="G14" s="34" t="s">
        <v>58</v>
      </c>
      <c r="H14" t="s">
        <v>115</v>
      </c>
    </row>
    <row r="15" spans="1:13" x14ac:dyDescent="0.35">
      <c r="A15" s="34" t="s">
        <v>59</v>
      </c>
      <c r="B15" s="34" t="s">
        <v>79</v>
      </c>
      <c r="C15" s="34" t="s">
        <v>97</v>
      </c>
      <c r="G15" s="34" t="s">
        <v>59</v>
      </c>
      <c r="H15" t="s">
        <v>116</v>
      </c>
    </row>
    <row r="16" spans="1:13" x14ac:dyDescent="0.35">
      <c r="A16" s="34" t="s">
        <v>60</v>
      </c>
      <c r="B16" s="34" t="s">
        <v>80</v>
      </c>
      <c r="C16" s="34" t="s">
        <v>98</v>
      </c>
      <c r="G16" s="34" t="s">
        <v>60</v>
      </c>
      <c r="H16" t="s">
        <v>117</v>
      </c>
    </row>
    <row r="17" spans="1:8" x14ac:dyDescent="0.35">
      <c r="A17" s="34" t="s">
        <v>61</v>
      </c>
      <c r="B17" s="34" t="s">
        <v>81</v>
      </c>
      <c r="C17" s="34" t="s">
        <v>99</v>
      </c>
      <c r="G17" s="34" t="s">
        <v>61</v>
      </c>
      <c r="H17" t="s">
        <v>118</v>
      </c>
    </row>
    <row r="18" spans="1:8" x14ac:dyDescent="0.35">
      <c r="A18" s="34" t="s">
        <v>62</v>
      </c>
      <c r="B18" s="34" t="s">
        <v>82</v>
      </c>
      <c r="C18" s="34" t="s">
        <v>100</v>
      </c>
      <c r="G18" s="34" t="s">
        <v>62</v>
      </c>
      <c r="H18" t="s">
        <v>119</v>
      </c>
    </row>
    <row r="19" spans="1:8" x14ac:dyDescent="0.35">
      <c r="A19" s="34" t="s">
        <v>63</v>
      </c>
      <c r="B19" s="34" t="s">
        <v>83</v>
      </c>
      <c r="C19" s="34" t="s">
        <v>101</v>
      </c>
      <c r="G19" s="34" t="s">
        <v>63</v>
      </c>
      <c r="H19" t="s">
        <v>120</v>
      </c>
    </row>
    <row r="20" spans="1:8" x14ac:dyDescent="0.35">
      <c r="A20" s="34" t="s">
        <v>64</v>
      </c>
      <c r="B20" s="34" t="s">
        <v>84</v>
      </c>
      <c r="C20" s="34" t="s">
        <v>102</v>
      </c>
      <c r="G20" s="34" t="s">
        <v>64</v>
      </c>
      <c r="H20" t="s">
        <v>121</v>
      </c>
    </row>
  </sheetData>
  <phoneticPr fontId="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134F-399A-4927-822A-2A829EC63B1E}">
  <dimension ref="A1:K20"/>
  <sheetViews>
    <sheetView zoomScale="175" zoomScaleNormal="175" workbookViewId="0">
      <selection activeCell="K8" sqref="K8"/>
    </sheetView>
  </sheetViews>
  <sheetFormatPr defaultRowHeight="14.5" x14ac:dyDescent="0.35"/>
  <cols>
    <col min="1" max="1" width="18.54296875" bestFit="1" customWidth="1"/>
    <col min="2" max="2" width="16.08984375" customWidth="1"/>
    <col min="3" max="3" width="14.90625" customWidth="1"/>
    <col min="7" max="7" width="39.6328125" bestFit="1" customWidth="1"/>
    <col min="8" max="8" width="12.7265625" customWidth="1"/>
    <col min="10" max="10" width="14.6328125" customWidth="1"/>
    <col min="11" max="11" width="18.36328125" bestFit="1" customWidth="1"/>
  </cols>
  <sheetData>
    <row r="1" spans="1:11" x14ac:dyDescent="0.35">
      <c r="A1" s="33" t="s">
        <v>46</v>
      </c>
      <c r="B1" t="s">
        <v>46</v>
      </c>
      <c r="G1" s="33" t="s">
        <v>155</v>
      </c>
      <c r="H1" t="s">
        <v>167</v>
      </c>
      <c r="I1" t="s">
        <v>168</v>
      </c>
      <c r="J1" t="s">
        <v>169</v>
      </c>
      <c r="K1" t="s">
        <v>170</v>
      </c>
    </row>
    <row r="2" spans="1:11" x14ac:dyDescent="0.35">
      <c r="A2" s="34" t="s">
        <v>47</v>
      </c>
      <c r="B2" t="s">
        <v>67</v>
      </c>
      <c r="C2" t="s">
        <v>85</v>
      </c>
      <c r="G2" s="34" t="s">
        <v>156</v>
      </c>
      <c r="H2" t="s">
        <v>171</v>
      </c>
      <c r="I2" t="s">
        <v>180</v>
      </c>
      <c r="J2" t="s">
        <v>190</v>
      </c>
      <c r="K2" t="s">
        <v>191</v>
      </c>
    </row>
    <row r="3" spans="1:11" x14ac:dyDescent="0.35">
      <c r="A3" s="34" t="s">
        <v>48</v>
      </c>
      <c r="B3" t="s">
        <v>68</v>
      </c>
      <c r="C3" t="s">
        <v>86</v>
      </c>
      <c r="G3" s="34" t="s">
        <v>157</v>
      </c>
      <c r="H3" t="s">
        <v>172</v>
      </c>
      <c r="I3" t="s">
        <v>181</v>
      </c>
    </row>
    <row r="4" spans="1:11" x14ac:dyDescent="0.35">
      <c r="A4" s="34" t="s">
        <v>49</v>
      </c>
      <c r="B4" t="s">
        <v>69</v>
      </c>
      <c r="C4" t="s">
        <v>87</v>
      </c>
      <c r="G4" s="34" t="s">
        <v>158</v>
      </c>
      <c r="H4" t="s">
        <v>173</v>
      </c>
      <c r="I4" t="s">
        <v>182</v>
      </c>
    </row>
    <row r="5" spans="1:11" x14ac:dyDescent="0.35">
      <c r="A5" s="34" t="s">
        <v>50</v>
      </c>
      <c r="B5" t="s">
        <v>70</v>
      </c>
      <c r="C5" t="s">
        <v>88</v>
      </c>
      <c r="G5" s="34" t="s">
        <v>159</v>
      </c>
      <c r="H5" t="s">
        <v>174</v>
      </c>
      <c r="I5" t="s">
        <v>183</v>
      </c>
    </row>
    <row r="6" spans="1:11" x14ac:dyDescent="0.35">
      <c r="A6" s="34" t="s">
        <v>51</v>
      </c>
      <c r="B6" t="s">
        <v>71</v>
      </c>
      <c r="C6" t="s">
        <v>89</v>
      </c>
      <c r="G6" s="34" t="s">
        <v>160</v>
      </c>
      <c r="H6" t="s">
        <v>173</v>
      </c>
      <c r="I6" t="s">
        <v>182</v>
      </c>
    </row>
    <row r="7" spans="1:11" x14ac:dyDescent="0.35">
      <c r="A7" s="34" t="s">
        <v>52</v>
      </c>
      <c r="B7" t="s">
        <v>72</v>
      </c>
      <c r="C7" t="s">
        <v>90</v>
      </c>
      <c r="G7" s="34" t="s">
        <v>161</v>
      </c>
      <c r="H7" t="s">
        <v>175</v>
      </c>
      <c r="I7" t="s">
        <v>184</v>
      </c>
    </row>
    <row r="8" spans="1:11" x14ac:dyDescent="0.35">
      <c r="A8" s="34" t="s">
        <v>53</v>
      </c>
      <c r="B8" t="s">
        <v>73</v>
      </c>
      <c r="C8" t="s">
        <v>91</v>
      </c>
      <c r="G8" s="34" t="s">
        <v>162</v>
      </c>
      <c r="H8" t="s">
        <v>176</v>
      </c>
      <c r="I8" t="s">
        <v>185</v>
      </c>
    </row>
    <row r="9" spans="1:11" x14ac:dyDescent="0.35">
      <c r="A9" s="34" t="s">
        <v>54</v>
      </c>
      <c r="B9" t="s">
        <v>74</v>
      </c>
      <c r="C9" t="s">
        <v>92</v>
      </c>
      <c r="G9" s="34" t="s">
        <v>163</v>
      </c>
      <c r="H9" t="s">
        <v>177</v>
      </c>
      <c r="I9" t="s">
        <v>186</v>
      </c>
    </row>
    <row r="10" spans="1:11" x14ac:dyDescent="0.35">
      <c r="A10" s="34" t="s">
        <v>55</v>
      </c>
      <c r="B10" t="s">
        <v>75</v>
      </c>
      <c r="C10" t="s">
        <v>93</v>
      </c>
      <c r="G10" s="34" t="s">
        <v>164</v>
      </c>
      <c r="H10" t="s">
        <v>174</v>
      </c>
      <c r="I10" t="s">
        <v>187</v>
      </c>
    </row>
    <row r="11" spans="1:11" x14ac:dyDescent="0.35">
      <c r="A11" s="34" t="s">
        <v>48</v>
      </c>
      <c r="B11" t="s">
        <v>68</v>
      </c>
      <c r="C11" t="s">
        <v>86</v>
      </c>
      <c r="G11" s="34" t="s">
        <v>165</v>
      </c>
      <c r="H11" t="s">
        <v>178</v>
      </c>
      <c r="I11" t="s">
        <v>188</v>
      </c>
    </row>
    <row r="12" spans="1:11" x14ac:dyDescent="0.35">
      <c r="A12" s="34" t="s">
        <v>56</v>
      </c>
      <c r="B12" t="s">
        <v>76</v>
      </c>
      <c r="C12" t="s">
        <v>94</v>
      </c>
      <c r="G12" s="34" t="s">
        <v>166</v>
      </c>
      <c r="H12" t="s">
        <v>179</v>
      </c>
      <c r="I12" t="s">
        <v>189</v>
      </c>
    </row>
    <row r="13" spans="1:11" x14ac:dyDescent="0.35">
      <c r="A13" s="34" t="s">
        <v>57</v>
      </c>
      <c r="B13" t="s">
        <v>77</v>
      </c>
      <c r="C13" t="s">
        <v>95</v>
      </c>
    </row>
    <row r="14" spans="1:11" x14ac:dyDescent="0.35">
      <c r="A14" s="34" t="s">
        <v>58</v>
      </c>
      <c r="B14" t="s">
        <v>78</v>
      </c>
      <c r="C14" t="s">
        <v>96</v>
      </c>
    </row>
    <row r="15" spans="1:11" x14ac:dyDescent="0.35">
      <c r="A15" s="34" t="s">
        <v>59</v>
      </c>
      <c r="B15" t="s">
        <v>79</v>
      </c>
      <c r="C15" t="s">
        <v>97</v>
      </c>
    </row>
    <row r="16" spans="1:11" x14ac:dyDescent="0.35">
      <c r="A16" s="34" t="s">
        <v>60</v>
      </c>
      <c r="B16" t="s">
        <v>80</v>
      </c>
      <c r="C16" t="s">
        <v>98</v>
      </c>
    </row>
    <row r="17" spans="1:3" x14ac:dyDescent="0.35">
      <c r="A17" s="34" t="s">
        <v>61</v>
      </c>
      <c r="B17" t="s">
        <v>81</v>
      </c>
      <c r="C17" t="s">
        <v>99</v>
      </c>
    </row>
    <row r="18" spans="1:3" x14ac:dyDescent="0.35">
      <c r="A18" s="34" t="s">
        <v>62</v>
      </c>
      <c r="B18" t="s">
        <v>82</v>
      </c>
      <c r="C18" t="s">
        <v>100</v>
      </c>
    </row>
    <row r="19" spans="1:3" x14ac:dyDescent="0.35">
      <c r="A19" s="34" t="s">
        <v>63</v>
      </c>
      <c r="B19" t="s">
        <v>83</v>
      </c>
      <c r="C19" t="s">
        <v>101</v>
      </c>
    </row>
    <row r="20" spans="1:3" x14ac:dyDescent="0.35">
      <c r="A20" s="34" t="s">
        <v>64</v>
      </c>
      <c r="B20" t="s">
        <v>84</v>
      </c>
      <c r="C20" t="s">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C86DA-3488-47C0-9FB2-5965CC90B8FB}">
  <dimension ref="A1:G11"/>
  <sheetViews>
    <sheetView zoomScale="220" zoomScaleNormal="220" workbookViewId="0">
      <pane ySplit="1" topLeftCell="A2" activePane="bottomLeft" state="frozen"/>
      <selection pane="bottomLeft" activeCell="F15" sqref="F15"/>
    </sheetView>
  </sheetViews>
  <sheetFormatPr defaultColWidth="22.08984375" defaultRowHeight="14.5" x14ac:dyDescent="0.35"/>
  <cols>
    <col min="1" max="1" width="9.6328125" style="2" customWidth="1"/>
    <col min="2" max="2" width="14.453125" style="2" customWidth="1"/>
    <col min="3" max="3" width="11.08984375" customWidth="1"/>
    <col min="4" max="4" width="14.26953125" customWidth="1"/>
    <col min="5" max="5" width="13.6328125" customWidth="1"/>
    <col min="6" max="6" width="12" style="2" customWidth="1"/>
    <col min="7" max="7" width="18.90625" style="2" customWidth="1"/>
    <col min="8" max="8" width="14.08984375" customWidth="1"/>
    <col min="9" max="9" width="14.36328125" customWidth="1"/>
  </cols>
  <sheetData>
    <row r="1" spans="1:7" x14ac:dyDescent="0.35">
      <c r="A1" s="3" t="s">
        <v>27</v>
      </c>
      <c r="B1" s="3" t="s">
        <v>0</v>
      </c>
      <c r="C1" s="3" t="s">
        <v>1</v>
      </c>
      <c r="D1" s="3" t="s">
        <v>4</v>
      </c>
      <c r="E1" s="3" t="s">
        <v>32</v>
      </c>
      <c r="F1" s="3" t="s">
        <v>33</v>
      </c>
      <c r="G1" s="3" t="s">
        <v>28</v>
      </c>
    </row>
    <row r="2" spans="1:7" x14ac:dyDescent="0.35">
      <c r="A2" s="5">
        <v>1</v>
      </c>
      <c r="B2" s="6">
        <v>43106</v>
      </c>
      <c r="C2" s="7" t="s">
        <v>8</v>
      </c>
      <c r="D2" s="7" t="s">
        <v>11</v>
      </c>
      <c r="E2" s="7" t="s">
        <v>29</v>
      </c>
      <c r="F2" s="5" t="s">
        <v>34</v>
      </c>
      <c r="G2" s="6">
        <v>43110</v>
      </c>
    </row>
    <row r="3" spans="1:7" x14ac:dyDescent="0.35">
      <c r="A3" s="5">
        <v>2</v>
      </c>
      <c r="B3" s="6">
        <v>43123</v>
      </c>
      <c r="C3" s="7" t="s">
        <v>12</v>
      </c>
      <c r="D3" s="7" t="s">
        <v>15</v>
      </c>
      <c r="E3" s="7" t="s">
        <v>30</v>
      </c>
      <c r="F3" s="5" t="s">
        <v>35</v>
      </c>
      <c r="G3" s="6">
        <v>43128</v>
      </c>
    </row>
    <row r="4" spans="1:7" x14ac:dyDescent="0.35">
      <c r="A4" s="5">
        <v>3</v>
      </c>
      <c r="B4" s="6">
        <v>43140</v>
      </c>
      <c r="C4" s="7" t="s">
        <v>12</v>
      </c>
      <c r="D4" s="7" t="s">
        <v>11</v>
      </c>
      <c r="E4" s="7" t="s">
        <v>29</v>
      </c>
      <c r="F4" s="5" t="s">
        <v>36</v>
      </c>
      <c r="G4" s="6">
        <v>43145</v>
      </c>
    </row>
    <row r="5" spans="1:7" x14ac:dyDescent="0.35">
      <c r="A5" s="5">
        <v>4</v>
      </c>
      <c r="B5" s="6">
        <v>43157</v>
      </c>
      <c r="C5" s="7" t="s">
        <v>12</v>
      </c>
      <c r="D5" s="7" t="s">
        <v>19</v>
      </c>
      <c r="E5" s="7" t="s">
        <v>31</v>
      </c>
      <c r="F5" s="5" t="s">
        <v>37</v>
      </c>
      <c r="G5" s="6">
        <v>43160</v>
      </c>
    </row>
    <row r="6" spans="1:7" x14ac:dyDescent="0.35">
      <c r="A6" s="5">
        <v>5</v>
      </c>
      <c r="B6" s="6">
        <v>43174</v>
      </c>
      <c r="C6" s="7" t="s">
        <v>20</v>
      </c>
      <c r="D6" s="7" t="s">
        <v>11</v>
      </c>
      <c r="E6" s="7" t="s">
        <v>29</v>
      </c>
      <c r="F6" s="5" t="s">
        <v>38</v>
      </c>
      <c r="G6" s="6">
        <v>43179</v>
      </c>
    </row>
    <row r="7" spans="1:7" x14ac:dyDescent="0.35">
      <c r="A7" s="5">
        <v>11</v>
      </c>
      <c r="B7" s="6">
        <v>43784</v>
      </c>
      <c r="C7" s="7" t="s">
        <v>8</v>
      </c>
      <c r="D7" s="7" t="s">
        <v>26</v>
      </c>
      <c r="E7" s="7" t="s">
        <v>29</v>
      </c>
      <c r="F7" s="5" t="s">
        <v>39</v>
      </c>
      <c r="G7" s="6">
        <v>43789</v>
      </c>
    </row>
    <row r="8" spans="1:7" x14ac:dyDescent="0.35">
      <c r="A8" s="5">
        <v>12</v>
      </c>
      <c r="B8" s="6">
        <v>43800</v>
      </c>
      <c r="C8" s="7" t="s">
        <v>20</v>
      </c>
      <c r="D8" s="7" t="s">
        <v>25</v>
      </c>
      <c r="E8" s="7" t="s">
        <v>30</v>
      </c>
      <c r="F8" s="5" t="s">
        <v>40</v>
      </c>
      <c r="G8" s="6">
        <v>43804</v>
      </c>
    </row>
    <row r="9" spans="1:7" x14ac:dyDescent="0.35">
      <c r="A9" s="5">
        <v>13</v>
      </c>
      <c r="B9" s="6">
        <v>43814</v>
      </c>
      <c r="C9" s="7" t="s">
        <v>12</v>
      </c>
      <c r="D9" s="7" t="s">
        <v>19</v>
      </c>
      <c r="E9" s="7" t="s">
        <v>31</v>
      </c>
      <c r="F9" s="5" t="s">
        <v>41</v>
      </c>
      <c r="G9" s="6">
        <v>43819</v>
      </c>
    </row>
    <row r="10" spans="1:7" x14ac:dyDescent="0.35">
      <c r="A10" s="5">
        <v>14</v>
      </c>
      <c r="B10" s="6">
        <v>43835</v>
      </c>
      <c r="C10" s="7" t="s">
        <v>8</v>
      </c>
      <c r="D10" s="7" t="s">
        <v>11</v>
      </c>
      <c r="E10" s="7" t="s">
        <v>29</v>
      </c>
      <c r="F10" s="5" t="s">
        <v>42</v>
      </c>
      <c r="G10" s="6">
        <v>43840</v>
      </c>
    </row>
    <row r="11" spans="1:7" x14ac:dyDescent="0.35">
      <c r="A11" s="5">
        <v>15</v>
      </c>
      <c r="B11" s="6">
        <v>43850</v>
      </c>
      <c r="C11" s="7" t="s">
        <v>12</v>
      </c>
      <c r="D11" s="7" t="s">
        <v>15</v>
      </c>
      <c r="E11" s="7" t="s">
        <v>29</v>
      </c>
      <c r="F11" s="5" t="s">
        <v>43</v>
      </c>
      <c r="G11" s="6">
        <v>43855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C17A-66EE-4893-B715-2F1D18370EC3}">
  <sheetPr>
    <tabColor rgb="FF00B050"/>
  </sheetPr>
  <dimension ref="A1:I57"/>
  <sheetViews>
    <sheetView zoomScale="175" zoomScaleNormal="175" workbookViewId="0">
      <pane xSplit="1" ySplit="1" topLeftCell="B2" activePane="bottomRight" state="frozen"/>
      <selection pane="topRight" activeCell="B1" sqref="B1"/>
      <selection pane="bottomLeft" activeCell="A2" sqref="A2"/>
      <selection pane="bottomRight" activeCell="D3" sqref="D3"/>
    </sheetView>
  </sheetViews>
  <sheetFormatPr defaultRowHeight="14.5" outlineLevelRow="2" x14ac:dyDescent="0.35"/>
  <cols>
    <col min="1" max="1" width="10.90625" customWidth="1"/>
    <col min="2" max="2" width="16.6328125" bestFit="1" customWidth="1"/>
    <col min="3" max="3" width="15.1796875" customWidth="1"/>
    <col min="4" max="4" width="16.1796875" customWidth="1"/>
    <col min="5" max="5" width="15.1796875" customWidth="1"/>
    <col min="6" max="6" width="16.1796875" customWidth="1"/>
    <col min="7" max="7" width="15.08984375" customWidth="1"/>
    <col min="8" max="9" width="13.81640625" customWidth="1"/>
    <col min="10" max="10" width="10.08984375" customWidth="1"/>
    <col min="11" max="11" width="10.7265625" bestFit="1" customWidth="1"/>
  </cols>
  <sheetData>
    <row r="1" spans="1:9" ht="15.5" x14ac:dyDescent="0.35">
      <c r="A1" s="40" t="s">
        <v>44</v>
      </c>
      <c r="B1" s="41" t="s">
        <v>0</v>
      </c>
      <c r="C1" s="42" t="s">
        <v>1</v>
      </c>
      <c r="D1" s="78" t="s">
        <v>2</v>
      </c>
      <c r="E1" s="42" t="s">
        <v>3</v>
      </c>
      <c r="F1" s="42" t="s">
        <v>4</v>
      </c>
      <c r="G1" s="42" t="s">
        <v>5</v>
      </c>
      <c r="H1" s="42" t="s">
        <v>6</v>
      </c>
      <c r="I1" s="42" t="s">
        <v>7</v>
      </c>
    </row>
    <row r="2" spans="1:9" ht="15.5" outlineLevel="2" x14ac:dyDescent="0.35">
      <c r="A2" s="43">
        <v>1</v>
      </c>
      <c r="B2" s="44">
        <v>43242</v>
      </c>
      <c r="C2" s="45" t="s">
        <v>20</v>
      </c>
      <c r="D2" s="51" t="s">
        <v>23</v>
      </c>
      <c r="E2" s="51" t="s">
        <v>24</v>
      </c>
      <c r="F2" s="54" t="s">
        <v>11</v>
      </c>
      <c r="G2" s="59">
        <v>32</v>
      </c>
      <c r="H2" s="58">
        <v>1198</v>
      </c>
      <c r="I2" s="55">
        <f>G2*H2</f>
        <v>38336</v>
      </c>
    </row>
    <row r="3" spans="1:9" ht="15.5" outlineLevel="1" x14ac:dyDescent="0.35">
      <c r="A3" s="43"/>
      <c r="B3" s="44"/>
      <c r="C3" s="45"/>
      <c r="D3" s="81" t="s">
        <v>198</v>
      </c>
      <c r="E3" s="81"/>
      <c r="F3" s="65"/>
      <c r="G3" s="66">
        <f>SUBTOTAL(9,G2:G2)</f>
        <v>32</v>
      </c>
      <c r="H3" s="69"/>
      <c r="I3" s="68">
        <f>SUBTOTAL(9,I2:I2)</f>
        <v>38336</v>
      </c>
    </row>
    <row r="4" spans="1:9" ht="15.5" outlineLevel="2" x14ac:dyDescent="0.35">
      <c r="A4" s="43">
        <v>2</v>
      </c>
      <c r="B4" s="44">
        <v>43123</v>
      </c>
      <c r="C4" s="45" t="s">
        <v>12</v>
      </c>
      <c r="D4" s="46" t="s">
        <v>13</v>
      </c>
      <c r="E4" s="51" t="s">
        <v>14</v>
      </c>
      <c r="F4" s="54" t="s">
        <v>15</v>
      </c>
      <c r="G4" s="59">
        <v>50</v>
      </c>
      <c r="H4" s="57">
        <v>400</v>
      </c>
      <c r="I4" s="55">
        <f>G4*H4</f>
        <v>20000</v>
      </c>
    </row>
    <row r="5" spans="1:9" ht="15.5" outlineLevel="2" x14ac:dyDescent="0.35">
      <c r="A5" s="43">
        <v>3</v>
      </c>
      <c r="B5" s="44">
        <v>43140</v>
      </c>
      <c r="C5" s="45" t="s">
        <v>12</v>
      </c>
      <c r="D5" s="46" t="s">
        <v>13</v>
      </c>
      <c r="E5" s="51" t="s">
        <v>16</v>
      </c>
      <c r="F5" s="54" t="s">
        <v>11</v>
      </c>
      <c r="G5" s="59">
        <v>36</v>
      </c>
      <c r="H5" s="57">
        <v>1198</v>
      </c>
      <c r="I5" s="55">
        <f>G5*H5</f>
        <v>43128</v>
      </c>
    </row>
    <row r="6" spans="1:9" ht="15.5" outlineLevel="2" x14ac:dyDescent="0.35">
      <c r="A6" s="43">
        <v>4</v>
      </c>
      <c r="B6" s="44">
        <v>43225</v>
      </c>
      <c r="C6" s="45" t="s">
        <v>12</v>
      </c>
      <c r="D6" s="46" t="s">
        <v>13</v>
      </c>
      <c r="E6" s="51" t="s">
        <v>16</v>
      </c>
      <c r="F6" s="54" t="s">
        <v>19</v>
      </c>
      <c r="G6" s="59">
        <v>90</v>
      </c>
      <c r="H6" s="57">
        <v>1198</v>
      </c>
      <c r="I6" s="55">
        <f>G6*H6</f>
        <v>107820</v>
      </c>
    </row>
    <row r="7" spans="1:9" ht="15.5" outlineLevel="1" x14ac:dyDescent="0.35">
      <c r="A7" s="43"/>
      <c r="B7" s="44"/>
      <c r="C7" s="45"/>
      <c r="D7" s="82" t="s">
        <v>199</v>
      </c>
      <c r="E7" s="81"/>
      <c r="F7" s="65"/>
      <c r="G7" s="66">
        <f>SUBTOTAL(9,G4:G6)</f>
        <v>176</v>
      </c>
      <c r="H7" s="67"/>
      <c r="I7" s="68">
        <f>SUBTOTAL(9,I4:I6)</f>
        <v>170948</v>
      </c>
    </row>
    <row r="8" spans="1:9" ht="15.5" outlineLevel="2" x14ac:dyDescent="0.35">
      <c r="A8" s="43">
        <v>5</v>
      </c>
      <c r="B8" s="44">
        <v>43106</v>
      </c>
      <c r="C8" s="45" t="s">
        <v>8</v>
      </c>
      <c r="D8" s="46" t="s">
        <v>9</v>
      </c>
      <c r="E8" s="51" t="s">
        <v>10</v>
      </c>
      <c r="F8" s="54" t="s">
        <v>11</v>
      </c>
      <c r="G8" s="59">
        <v>95</v>
      </c>
      <c r="H8" s="57">
        <v>1198</v>
      </c>
      <c r="I8" s="55">
        <f>G8*H8</f>
        <v>113810</v>
      </c>
    </row>
    <row r="9" spans="1:9" ht="15.5" outlineLevel="2" x14ac:dyDescent="0.35">
      <c r="A9" s="43">
        <v>6</v>
      </c>
      <c r="B9" s="48">
        <v>43191</v>
      </c>
      <c r="C9" s="49" t="s">
        <v>8</v>
      </c>
      <c r="D9" s="50" t="s">
        <v>9</v>
      </c>
      <c r="E9" s="56" t="s">
        <v>10</v>
      </c>
      <c r="F9" s="54" t="s">
        <v>15</v>
      </c>
      <c r="G9" s="59">
        <v>60</v>
      </c>
      <c r="H9" s="57">
        <v>500</v>
      </c>
      <c r="I9" s="55">
        <f>G9*H9</f>
        <v>30000</v>
      </c>
    </row>
    <row r="10" spans="1:9" ht="15.5" outlineLevel="2" x14ac:dyDescent="0.35">
      <c r="A10" s="43">
        <v>7</v>
      </c>
      <c r="B10" s="44">
        <v>43208</v>
      </c>
      <c r="C10" s="45" t="s">
        <v>12</v>
      </c>
      <c r="D10" s="47" t="s">
        <v>9</v>
      </c>
      <c r="E10" s="51" t="s">
        <v>22</v>
      </c>
      <c r="F10" s="54" t="s">
        <v>11</v>
      </c>
      <c r="G10" s="59">
        <v>75</v>
      </c>
      <c r="H10" s="57">
        <v>1198</v>
      </c>
      <c r="I10" s="55">
        <f>G10*H10</f>
        <v>89850</v>
      </c>
    </row>
    <row r="11" spans="1:9" ht="15.5" outlineLevel="2" x14ac:dyDescent="0.35">
      <c r="A11" s="43">
        <v>8</v>
      </c>
      <c r="B11" s="44">
        <v>43259</v>
      </c>
      <c r="C11" s="45" t="s">
        <v>8</v>
      </c>
      <c r="D11" s="46" t="s">
        <v>9</v>
      </c>
      <c r="E11" s="51" t="s">
        <v>10</v>
      </c>
      <c r="F11" s="54" t="s">
        <v>15</v>
      </c>
      <c r="G11" s="59">
        <v>60</v>
      </c>
      <c r="H11" s="58">
        <v>500</v>
      </c>
      <c r="I11" s="55">
        <f>G11*H11</f>
        <v>30000</v>
      </c>
    </row>
    <row r="12" spans="1:9" ht="15.5" outlineLevel="1" x14ac:dyDescent="0.35">
      <c r="A12" s="43"/>
      <c r="B12" s="44"/>
      <c r="C12" s="45"/>
      <c r="D12" s="82" t="s">
        <v>200</v>
      </c>
      <c r="E12" s="81"/>
      <c r="F12" s="65"/>
      <c r="G12" s="66">
        <f>SUBTOTAL(9,G8:G11)</f>
        <v>290</v>
      </c>
      <c r="H12" s="69"/>
      <c r="I12" s="68">
        <f>SUBTOTAL(9,I8:I11)</f>
        <v>263660</v>
      </c>
    </row>
    <row r="13" spans="1:9" ht="15.5" outlineLevel="2" x14ac:dyDescent="0.35">
      <c r="A13" s="43">
        <v>9</v>
      </c>
      <c r="B13" s="44">
        <v>43157</v>
      </c>
      <c r="C13" s="45" t="s">
        <v>12</v>
      </c>
      <c r="D13" s="46" t="s">
        <v>17</v>
      </c>
      <c r="E13" s="51" t="s">
        <v>18</v>
      </c>
      <c r="F13" s="54" t="s">
        <v>19</v>
      </c>
      <c r="G13" s="59">
        <v>27</v>
      </c>
      <c r="H13" s="57">
        <v>225</v>
      </c>
      <c r="I13" s="55">
        <f>G13*H13</f>
        <v>6075</v>
      </c>
    </row>
    <row r="14" spans="1:9" ht="15.5" outlineLevel="2" x14ac:dyDescent="0.35">
      <c r="A14" s="43">
        <v>10</v>
      </c>
      <c r="B14" s="48">
        <v>43174</v>
      </c>
      <c r="C14" s="49" t="s">
        <v>20</v>
      </c>
      <c r="D14" s="50" t="s">
        <v>17</v>
      </c>
      <c r="E14" s="56" t="s">
        <v>21</v>
      </c>
      <c r="F14" s="54" t="s">
        <v>11</v>
      </c>
      <c r="G14" s="59">
        <v>56</v>
      </c>
      <c r="H14" s="57">
        <v>1198</v>
      </c>
      <c r="I14" s="55">
        <f>G14*H14</f>
        <v>67088</v>
      </c>
    </row>
    <row r="15" spans="1:9" ht="15.5" outlineLevel="1" x14ac:dyDescent="0.35">
      <c r="A15" s="61"/>
      <c r="B15" s="79"/>
      <c r="C15" s="80"/>
      <c r="D15" s="83" t="s">
        <v>201</v>
      </c>
      <c r="E15" s="84"/>
      <c r="F15" s="70"/>
      <c r="G15" s="71">
        <f>SUBTOTAL(9,G13:G14)</f>
        <v>83</v>
      </c>
      <c r="H15" s="85"/>
      <c r="I15" s="73">
        <f>SUBTOTAL(9,I13:I14)</f>
        <v>73163</v>
      </c>
    </row>
    <row r="16" spans="1:9" ht="15.5" x14ac:dyDescent="0.35">
      <c r="A16" s="61"/>
      <c r="B16" s="79"/>
      <c r="C16" s="80"/>
      <c r="D16" s="86" t="s">
        <v>197</v>
      </c>
      <c r="E16" s="87"/>
      <c r="F16" s="88"/>
      <c r="G16" s="89">
        <f>SUBTOTAL(9,G2:G14)</f>
        <v>581</v>
      </c>
      <c r="H16" s="90"/>
      <c r="I16" s="91">
        <f>SUBTOTAL(9,I2:I14)</f>
        <v>546107</v>
      </c>
    </row>
    <row r="53" spans="2:3" x14ac:dyDescent="0.35">
      <c r="B53" s="31" t="s">
        <v>193</v>
      </c>
      <c r="C53" s="52">
        <f>SUM(I2:I14)</f>
        <v>1019051</v>
      </c>
    </row>
    <row r="54" spans="2:3" x14ac:dyDescent="0.35">
      <c r="B54" s="31" t="s">
        <v>192</v>
      </c>
      <c r="C54" s="53" t="str" cm="1">
        <f t="array" ref="C54:C57">_xlfn.UNIQUE(F2:F14)</f>
        <v>Television</v>
      </c>
    </row>
    <row r="55" spans="2:3" x14ac:dyDescent="0.35">
      <c r="C55">
        <v>0</v>
      </c>
    </row>
    <row r="56" spans="2:3" x14ac:dyDescent="0.35">
      <c r="C56" t="str">
        <v>Home Theater</v>
      </c>
    </row>
    <row r="57" spans="2:3" x14ac:dyDescent="0.35">
      <c r="C57" t="str">
        <v>Cell Phone</v>
      </c>
    </row>
  </sheetData>
  <autoFilter ref="A1:I14" xr:uid="{BAF55E6E-15CA-42E7-85D6-568C3BCDF332}">
    <sortState xmlns:xlrd2="http://schemas.microsoft.com/office/spreadsheetml/2017/richdata2" ref="A2:I14">
      <sortCondition ref="D1:D14"/>
    </sortState>
  </autoFilter>
  <conditionalFormatting sqref="A44:A1048576 A1:A16">
    <cfRule type="duplicateValues" dxfId="5"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9B54-DF29-4369-99F7-8F7A223D735E}">
  <sheetPr>
    <tabColor rgb="FFCC99FF"/>
  </sheetPr>
  <dimension ref="A1:I56"/>
  <sheetViews>
    <sheetView zoomScale="175" zoomScaleNormal="175" workbookViewId="0">
      <pane xSplit="1" ySplit="1" topLeftCell="B2" activePane="bottomRight" state="frozen"/>
      <selection pane="topRight" activeCell="B1" sqref="B1"/>
      <selection pane="bottomLeft" activeCell="A2" sqref="A2"/>
      <selection pane="bottomRight" activeCell="E17" sqref="E17"/>
    </sheetView>
  </sheetViews>
  <sheetFormatPr defaultRowHeight="14.5" outlineLevelRow="2" x14ac:dyDescent="0.35"/>
  <cols>
    <col min="1" max="1" width="10.90625" customWidth="1"/>
    <col min="2" max="2" width="16.6328125" bestFit="1" customWidth="1"/>
    <col min="3" max="3" width="15.1796875" customWidth="1"/>
    <col min="4" max="4" width="16.1796875" customWidth="1"/>
    <col min="5" max="5" width="15.1796875" customWidth="1"/>
    <col min="6" max="6" width="16.1796875" customWidth="1"/>
    <col min="7" max="7" width="15.08984375" customWidth="1"/>
    <col min="8" max="9" width="13.81640625" customWidth="1"/>
    <col min="10" max="10" width="10.08984375" customWidth="1"/>
    <col min="11" max="11" width="10.7265625" bestFit="1" customWidth="1"/>
  </cols>
  <sheetData>
    <row r="1" spans="1:9" ht="15.5" x14ac:dyDescent="0.35">
      <c r="A1" s="40" t="s">
        <v>44</v>
      </c>
      <c r="B1" s="41" t="s">
        <v>0</v>
      </c>
      <c r="C1" s="92" t="s">
        <v>1</v>
      </c>
      <c r="D1" s="42" t="s">
        <v>2</v>
      </c>
      <c r="E1" s="42" t="s">
        <v>3</v>
      </c>
      <c r="F1" s="42" t="s">
        <v>4</v>
      </c>
      <c r="G1" s="42" t="s">
        <v>5</v>
      </c>
      <c r="H1" s="42" t="s">
        <v>6</v>
      </c>
      <c r="I1" s="42" t="s">
        <v>7</v>
      </c>
    </row>
    <row r="2" spans="1:9" ht="15.5" outlineLevel="2" x14ac:dyDescent="0.35">
      <c r="A2" s="43">
        <v>1</v>
      </c>
      <c r="B2" s="44">
        <v>43123</v>
      </c>
      <c r="C2" s="45" t="s">
        <v>12</v>
      </c>
      <c r="D2" s="46" t="s">
        <v>13</v>
      </c>
      <c r="E2" s="51" t="s">
        <v>14</v>
      </c>
      <c r="F2" s="54" t="s">
        <v>15</v>
      </c>
      <c r="G2" s="59">
        <v>50</v>
      </c>
      <c r="H2" s="57">
        <v>400</v>
      </c>
      <c r="I2" s="55">
        <f>G2*H2</f>
        <v>20000</v>
      </c>
    </row>
    <row r="3" spans="1:9" ht="15.5" outlineLevel="2" x14ac:dyDescent="0.35">
      <c r="A3" s="43">
        <v>2</v>
      </c>
      <c r="B3" s="44">
        <v>43140</v>
      </c>
      <c r="C3" s="45" t="s">
        <v>12</v>
      </c>
      <c r="D3" s="46" t="s">
        <v>13</v>
      </c>
      <c r="E3" s="51" t="s">
        <v>16</v>
      </c>
      <c r="F3" s="54" t="s">
        <v>11</v>
      </c>
      <c r="G3" s="59">
        <v>36</v>
      </c>
      <c r="H3" s="57">
        <v>1198</v>
      </c>
      <c r="I3" s="55">
        <f>G3*H3</f>
        <v>43128</v>
      </c>
    </row>
    <row r="4" spans="1:9" ht="15.5" outlineLevel="2" x14ac:dyDescent="0.35">
      <c r="A4" s="43">
        <v>3</v>
      </c>
      <c r="B4" s="44">
        <v>43157</v>
      </c>
      <c r="C4" s="45" t="s">
        <v>12</v>
      </c>
      <c r="D4" s="46" t="s">
        <v>17</v>
      </c>
      <c r="E4" s="51" t="s">
        <v>18</v>
      </c>
      <c r="F4" s="54" t="s">
        <v>19</v>
      </c>
      <c r="G4" s="59">
        <v>27</v>
      </c>
      <c r="H4" s="57">
        <v>225</v>
      </c>
      <c r="I4" s="55">
        <f>G4*H4</f>
        <v>6075</v>
      </c>
    </row>
    <row r="5" spans="1:9" ht="15.5" outlineLevel="2" x14ac:dyDescent="0.35">
      <c r="A5" s="43">
        <v>4</v>
      </c>
      <c r="B5" s="44">
        <v>43208</v>
      </c>
      <c r="C5" s="45" t="s">
        <v>12</v>
      </c>
      <c r="D5" s="47" t="s">
        <v>9</v>
      </c>
      <c r="E5" s="51" t="s">
        <v>22</v>
      </c>
      <c r="F5" s="54" t="s">
        <v>11</v>
      </c>
      <c r="G5" s="59">
        <v>75</v>
      </c>
      <c r="H5" s="57">
        <v>1198</v>
      </c>
      <c r="I5" s="55">
        <f>G5*H5</f>
        <v>89850</v>
      </c>
    </row>
    <row r="6" spans="1:9" ht="15.5" outlineLevel="2" x14ac:dyDescent="0.35">
      <c r="A6" s="43">
        <v>5</v>
      </c>
      <c r="B6" s="44">
        <v>43225</v>
      </c>
      <c r="C6" s="45" t="s">
        <v>12</v>
      </c>
      <c r="D6" s="46" t="s">
        <v>13</v>
      </c>
      <c r="E6" s="51" t="s">
        <v>16</v>
      </c>
      <c r="F6" s="54" t="s">
        <v>19</v>
      </c>
      <c r="G6" s="59">
        <v>90</v>
      </c>
      <c r="H6" s="57">
        <v>1198</v>
      </c>
      <c r="I6" s="55">
        <f>G6*H6</f>
        <v>107820</v>
      </c>
    </row>
    <row r="7" spans="1:9" ht="15.5" outlineLevel="1" x14ac:dyDescent="0.35">
      <c r="A7" s="43"/>
      <c r="B7" s="44"/>
      <c r="C7" s="93" t="s">
        <v>202</v>
      </c>
      <c r="D7" s="82"/>
      <c r="E7" s="81"/>
      <c r="F7" s="65"/>
      <c r="G7" s="66"/>
      <c r="H7" s="67"/>
      <c r="I7" s="68">
        <f>SUBTOTAL(1,I2:I6)</f>
        <v>53374.6</v>
      </c>
    </row>
    <row r="8" spans="1:9" ht="15.5" outlineLevel="2" x14ac:dyDescent="0.35">
      <c r="A8" s="43">
        <v>6</v>
      </c>
      <c r="B8" s="44">
        <v>43106</v>
      </c>
      <c r="C8" s="45" t="s">
        <v>8</v>
      </c>
      <c r="D8" s="46" t="s">
        <v>9</v>
      </c>
      <c r="E8" s="51" t="s">
        <v>10</v>
      </c>
      <c r="F8" s="54" t="s">
        <v>11</v>
      </c>
      <c r="G8" s="59">
        <v>95</v>
      </c>
      <c r="H8" s="57">
        <v>1198</v>
      </c>
      <c r="I8" s="55">
        <f>G8*H8</f>
        <v>113810</v>
      </c>
    </row>
    <row r="9" spans="1:9" ht="15.5" outlineLevel="2" x14ac:dyDescent="0.35">
      <c r="A9" s="43">
        <v>7</v>
      </c>
      <c r="B9" s="48">
        <v>43191</v>
      </c>
      <c r="C9" s="49" t="s">
        <v>8</v>
      </c>
      <c r="D9" s="50" t="s">
        <v>9</v>
      </c>
      <c r="E9" s="56" t="s">
        <v>10</v>
      </c>
      <c r="F9" s="54" t="s">
        <v>15</v>
      </c>
      <c r="G9" s="59">
        <v>60</v>
      </c>
      <c r="H9" s="57">
        <v>500</v>
      </c>
      <c r="I9" s="55">
        <f>G9*H9</f>
        <v>30000</v>
      </c>
    </row>
    <row r="10" spans="1:9" ht="15.5" outlineLevel="2" x14ac:dyDescent="0.35">
      <c r="A10" s="43">
        <v>8</v>
      </c>
      <c r="B10" s="44">
        <v>43259</v>
      </c>
      <c r="C10" s="45" t="s">
        <v>8</v>
      </c>
      <c r="D10" s="46" t="s">
        <v>9</v>
      </c>
      <c r="E10" s="51" t="s">
        <v>10</v>
      </c>
      <c r="F10" s="54" t="s">
        <v>15</v>
      </c>
      <c r="G10" s="59">
        <v>60</v>
      </c>
      <c r="H10" s="58">
        <v>500</v>
      </c>
      <c r="I10" s="55">
        <f>G10*H10</f>
        <v>30000</v>
      </c>
    </row>
    <row r="11" spans="1:9" ht="15.5" outlineLevel="1" x14ac:dyDescent="0.35">
      <c r="A11" s="43"/>
      <c r="B11" s="44"/>
      <c r="C11" s="93" t="s">
        <v>203</v>
      </c>
      <c r="D11" s="82"/>
      <c r="E11" s="81"/>
      <c r="F11" s="65"/>
      <c r="G11" s="66"/>
      <c r="H11" s="69"/>
      <c r="I11" s="68">
        <f>SUBTOTAL(1,I8:I10)</f>
        <v>57936.666666666664</v>
      </c>
    </row>
    <row r="12" spans="1:9" ht="15.5" outlineLevel="2" x14ac:dyDescent="0.35">
      <c r="A12" s="43">
        <v>9</v>
      </c>
      <c r="B12" s="48">
        <v>43174</v>
      </c>
      <c r="C12" s="49" t="s">
        <v>20</v>
      </c>
      <c r="D12" s="50" t="s">
        <v>17</v>
      </c>
      <c r="E12" s="56" t="s">
        <v>21</v>
      </c>
      <c r="F12" s="54" t="s">
        <v>11</v>
      </c>
      <c r="G12" s="59">
        <v>56</v>
      </c>
      <c r="H12" s="57">
        <v>1198</v>
      </c>
      <c r="I12" s="55">
        <f>G12*H12</f>
        <v>67088</v>
      </c>
    </row>
    <row r="13" spans="1:9" ht="15.5" outlineLevel="2" x14ac:dyDescent="0.35">
      <c r="A13" s="43">
        <v>10</v>
      </c>
      <c r="B13" s="44">
        <v>43242</v>
      </c>
      <c r="C13" s="45" t="s">
        <v>20</v>
      </c>
      <c r="D13" s="51" t="s">
        <v>23</v>
      </c>
      <c r="E13" s="51" t="s">
        <v>24</v>
      </c>
      <c r="F13" s="54" t="s">
        <v>11</v>
      </c>
      <c r="G13" s="59">
        <v>32</v>
      </c>
      <c r="H13" s="58">
        <v>1198</v>
      </c>
      <c r="I13" s="55">
        <f>G13*H13</f>
        <v>38336</v>
      </c>
    </row>
    <row r="14" spans="1:9" ht="15.5" outlineLevel="1" x14ac:dyDescent="0.35">
      <c r="A14" s="61"/>
      <c r="B14" s="62"/>
      <c r="C14" s="94" t="s">
        <v>204</v>
      </c>
      <c r="D14" s="84"/>
      <c r="E14" s="84"/>
      <c r="F14" s="70"/>
      <c r="G14" s="71"/>
      <c r="H14" s="72"/>
      <c r="I14" s="73">
        <f>SUBTOTAL(1,I12:I13)</f>
        <v>52712</v>
      </c>
    </row>
    <row r="15" spans="1:9" ht="15.5" x14ac:dyDescent="0.35">
      <c r="A15" s="61"/>
      <c r="B15" s="62"/>
      <c r="C15" s="95" t="s">
        <v>205</v>
      </c>
      <c r="D15" s="87"/>
      <c r="E15" s="87"/>
      <c r="F15" s="88"/>
      <c r="G15" s="89"/>
      <c r="H15" s="96"/>
      <c r="I15" s="91">
        <f>SUBTOTAL(1,I2:I13)</f>
        <v>54610.7</v>
      </c>
    </row>
    <row r="52" spans="2:3" x14ac:dyDescent="0.35">
      <c r="B52" s="31" t="s">
        <v>193</v>
      </c>
      <c r="C52" s="52">
        <f>SUM(I2:I13)</f>
        <v>657418.2666666666</v>
      </c>
    </row>
    <row r="53" spans="2:3" x14ac:dyDescent="0.35">
      <c r="B53" s="31" t="s">
        <v>192</v>
      </c>
      <c r="C53" s="53" t="str" cm="1">
        <f t="array" ref="C53:C56">_xlfn.UNIQUE(F2:F13)</f>
        <v>Home Theater</v>
      </c>
    </row>
    <row r="54" spans="2:3" x14ac:dyDescent="0.35">
      <c r="C54" t="str">
        <v>Television</v>
      </c>
    </row>
    <row r="55" spans="2:3" x14ac:dyDescent="0.35">
      <c r="C55" t="str">
        <v>Cell Phone</v>
      </c>
    </row>
    <row r="56" spans="2:3" x14ac:dyDescent="0.35">
      <c r="C56">
        <v>0</v>
      </c>
    </row>
  </sheetData>
  <autoFilter ref="A1:I13" xr:uid="{BAF55E6E-15CA-42E7-85D6-568C3BCDF332}">
    <sortState xmlns:xlrd2="http://schemas.microsoft.com/office/spreadsheetml/2017/richdata2" ref="A2:I13">
      <sortCondition ref="C1:C13"/>
    </sortState>
  </autoFilter>
  <conditionalFormatting sqref="A43:A1048576 A1:A15">
    <cfRule type="duplicateValues" dxfId="4"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D0FA-AB3D-409F-9046-E5C86DA9DB1B}">
  <sheetPr>
    <tabColor rgb="FF99FF99"/>
  </sheetPr>
  <dimension ref="A1:I51"/>
  <sheetViews>
    <sheetView zoomScale="175" zoomScaleNormal="175" workbookViewId="0">
      <pane xSplit="1" ySplit="1" topLeftCell="B2" activePane="bottomRight" state="frozen"/>
      <selection pane="topRight" activeCell="B1" sqref="B1"/>
      <selection pane="bottomLeft" activeCell="A2" sqref="A2"/>
      <selection pane="bottomRight" activeCell="C14" sqref="C14"/>
    </sheetView>
  </sheetViews>
  <sheetFormatPr defaultRowHeight="14.5" x14ac:dyDescent="0.35"/>
  <cols>
    <col min="1" max="1" width="10.90625" customWidth="1"/>
    <col min="2" max="2" width="16.6328125" bestFit="1" customWidth="1"/>
    <col min="3" max="3" width="15.1796875" customWidth="1"/>
    <col min="4" max="4" width="16.1796875" customWidth="1"/>
    <col min="5" max="5" width="15.1796875" customWidth="1"/>
    <col min="6" max="6" width="16.1796875" customWidth="1"/>
    <col min="7" max="7" width="15.08984375" customWidth="1"/>
    <col min="8" max="9" width="13.81640625" customWidth="1"/>
    <col min="10" max="10" width="10.08984375" customWidth="1"/>
    <col min="11" max="11" width="10.7265625" bestFit="1" customWidth="1"/>
  </cols>
  <sheetData>
    <row r="1" spans="1:9" ht="15.5" x14ac:dyDescent="0.35">
      <c r="A1" s="40" t="s">
        <v>44</v>
      </c>
      <c r="B1" s="41" t="s">
        <v>0</v>
      </c>
      <c r="C1" s="42" t="s">
        <v>1</v>
      </c>
      <c r="D1" s="42" t="s">
        <v>2</v>
      </c>
      <c r="E1" s="42" t="s">
        <v>3</v>
      </c>
      <c r="F1" s="42" t="s">
        <v>4</v>
      </c>
      <c r="G1" s="42" t="s">
        <v>5</v>
      </c>
      <c r="H1" s="42" t="s">
        <v>6</v>
      </c>
      <c r="I1" s="42" t="s">
        <v>7</v>
      </c>
    </row>
    <row r="2" spans="1:9" ht="15.5" x14ac:dyDescent="0.35">
      <c r="A2" s="43">
        <v>1</v>
      </c>
      <c r="B2" s="44">
        <v>43106</v>
      </c>
      <c r="C2" s="45" t="s">
        <v>8</v>
      </c>
      <c r="D2" s="46" t="s">
        <v>9</v>
      </c>
      <c r="E2" s="51" t="s">
        <v>10</v>
      </c>
      <c r="F2" s="54" t="s">
        <v>11</v>
      </c>
      <c r="G2" s="59">
        <v>95</v>
      </c>
      <c r="H2" s="57">
        <v>1198</v>
      </c>
      <c r="I2" s="55">
        <f t="shared" ref="I2:I11" si="0">G2*H2</f>
        <v>113810</v>
      </c>
    </row>
    <row r="3" spans="1:9" ht="15.5" x14ac:dyDescent="0.35">
      <c r="A3" s="43">
        <v>2</v>
      </c>
      <c r="B3" s="44">
        <v>43123</v>
      </c>
      <c r="C3" s="45" t="s">
        <v>12</v>
      </c>
      <c r="D3" s="46" t="s">
        <v>13</v>
      </c>
      <c r="E3" s="51" t="s">
        <v>14</v>
      </c>
      <c r="F3" s="54" t="s">
        <v>15</v>
      </c>
      <c r="G3" s="59">
        <v>50</v>
      </c>
      <c r="H3" s="57">
        <v>400</v>
      </c>
      <c r="I3" s="55">
        <f t="shared" si="0"/>
        <v>20000</v>
      </c>
    </row>
    <row r="4" spans="1:9" ht="15.5" x14ac:dyDescent="0.35">
      <c r="A4" s="43">
        <v>3</v>
      </c>
      <c r="B4" s="44">
        <v>43140</v>
      </c>
      <c r="C4" s="45" t="s">
        <v>12</v>
      </c>
      <c r="D4" s="46" t="s">
        <v>13</v>
      </c>
      <c r="E4" s="51" t="s">
        <v>16</v>
      </c>
      <c r="F4" s="54" t="s">
        <v>11</v>
      </c>
      <c r="G4" s="59">
        <v>36</v>
      </c>
      <c r="H4" s="57">
        <v>1198</v>
      </c>
      <c r="I4" s="55">
        <f t="shared" si="0"/>
        <v>43128</v>
      </c>
    </row>
    <row r="5" spans="1:9" ht="15.5" x14ac:dyDescent="0.35">
      <c r="A5" s="43">
        <v>4</v>
      </c>
      <c r="B5" s="44">
        <v>43157</v>
      </c>
      <c r="C5" s="45" t="s">
        <v>12</v>
      </c>
      <c r="D5" s="46" t="s">
        <v>17</v>
      </c>
      <c r="E5" s="51" t="s">
        <v>18</v>
      </c>
      <c r="F5" s="54" t="s">
        <v>19</v>
      </c>
      <c r="G5" s="59">
        <v>27</v>
      </c>
      <c r="H5" s="57">
        <v>225</v>
      </c>
      <c r="I5" s="55">
        <f t="shared" si="0"/>
        <v>6075</v>
      </c>
    </row>
    <row r="6" spans="1:9" ht="15.5" x14ac:dyDescent="0.35">
      <c r="A6" s="43">
        <v>5</v>
      </c>
      <c r="B6" s="48">
        <v>43174</v>
      </c>
      <c r="C6" s="49" t="s">
        <v>20</v>
      </c>
      <c r="D6" s="50" t="s">
        <v>17</v>
      </c>
      <c r="E6" s="56" t="s">
        <v>21</v>
      </c>
      <c r="F6" s="54" t="s">
        <v>11</v>
      </c>
      <c r="G6" s="59">
        <v>56</v>
      </c>
      <c r="H6" s="57">
        <v>1198</v>
      </c>
      <c r="I6" s="55">
        <f t="shared" si="0"/>
        <v>67088</v>
      </c>
    </row>
    <row r="7" spans="1:9" ht="15.5" x14ac:dyDescent="0.35">
      <c r="A7" s="43">
        <v>6</v>
      </c>
      <c r="B7" s="48">
        <v>43191</v>
      </c>
      <c r="C7" s="49" t="s">
        <v>8</v>
      </c>
      <c r="D7" s="50" t="s">
        <v>9</v>
      </c>
      <c r="E7" s="56" t="s">
        <v>10</v>
      </c>
      <c r="F7" s="54" t="s">
        <v>15</v>
      </c>
      <c r="G7" s="59">
        <v>60</v>
      </c>
      <c r="H7" s="57">
        <v>500</v>
      </c>
      <c r="I7" s="55">
        <f t="shared" si="0"/>
        <v>30000</v>
      </c>
    </row>
    <row r="8" spans="1:9" ht="15.5" x14ac:dyDescent="0.35">
      <c r="A8" s="43">
        <v>7</v>
      </c>
      <c r="B8" s="44">
        <v>43208</v>
      </c>
      <c r="C8" s="45" t="s">
        <v>12</v>
      </c>
      <c r="D8" s="47" t="s">
        <v>9</v>
      </c>
      <c r="E8" s="51" t="s">
        <v>22</v>
      </c>
      <c r="F8" s="54" t="s">
        <v>11</v>
      </c>
      <c r="G8" s="59">
        <v>75</v>
      </c>
      <c r="H8" s="57">
        <v>1198</v>
      </c>
      <c r="I8" s="55">
        <f t="shared" si="0"/>
        <v>89850</v>
      </c>
    </row>
    <row r="9" spans="1:9" ht="15.5" x14ac:dyDescent="0.35">
      <c r="A9" s="43">
        <v>8</v>
      </c>
      <c r="B9" s="44">
        <v>43225</v>
      </c>
      <c r="C9" s="45" t="s">
        <v>12</v>
      </c>
      <c r="D9" s="46" t="s">
        <v>13</v>
      </c>
      <c r="E9" s="51" t="s">
        <v>16</v>
      </c>
      <c r="F9" s="54" t="s">
        <v>19</v>
      </c>
      <c r="G9" s="59">
        <v>90</v>
      </c>
      <c r="H9" s="57">
        <v>1198</v>
      </c>
      <c r="I9" s="55">
        <f t="shared" si="0"/>
        <v>107820</v>
      </c>
    </row>
    <row r="10" spans="1:9" ht="15.5" x14ac:dyDescent="0.35">
      <c r="A10" s="43">
        <v>9</v>
      </c>
      <c r="B10" s="44">
        <v>43242</v>
      </c>
      <c r="C10" s="45" t="s">
        <v>20</v>
      </c>
      <c r="D10" s="51" t="s">
        <v>23</v>
      </c>
      <c r="E10" s="51" t="s">
        <v>24</v>
      </c>
      <c r="F10" s="54" t="s">
        <v>11</v>
      </c>
      <c r="G10" s="59">
        <v>32</v>
      </c>
      <c r="H10" s="58">
        <v>1198</v>
      </c>
      <c r="I10" s="55">
        <f t="shared" si="0"/>
        <v>38336</v>
      </c>
    </row>
    <row r="11" spans="1:9" ht="15.5" x14ac:dyDescent="0.35">
      <c r="A11" s="43">
        <v>10</v>
      </c>
      <c r="B11" s="44">
        <v>43259</v>
      </c>
      <c r="C11" s="45" t="s">
        <v>8</v>
      </c>
      <c r="D11" s="46" t="s">
        <v>9</v>
      </c>
      <c r="E11" s="51" t="s">
        <v>10</v>
      </c>
      <c r="F11" s="54" t="s">
        <v>15</v>
      </c>
      <c r="G11" s="59">
        <v>60</v>
      </c>
      <c r="H11" s="58">
        <v>500</v>
      </c>
      <c r="I11" s="55">
        <f t="shared" si="0"/>
        <v>30000</v>
      </c>
    </row>
    <row r="48" spans="2:3" x14ac:dyDescent="0.35">
      <c r="B48" s="31" t="s">
        <v>193</v>
      </c>
      <c r="C48" s="52">
        <f>SUM(I2:I11)</f>
        <v>546107</v>
      </c>
    </row>
    <row r="49" spans="2:3" x14ac:dyDescent="0.35">
      <c r="B49" s="31" t="s">
        <v>192</v>
      </c>
      <c r="C49" s="53" t="str" cm="1">
        <f t="array" ref="C49:C51">_xlfn.UNIQUE(F2:F11)</f>
        <v>Television</v>
      </c>
    </row>
    <row r="50" spans="2:3" x14ac:dyDescent="0.35">
      <c r="C50" t="str">
        <v>Home Theater</v>
      </c>
    </row>
    <row r="51" spans="2:3" x14ac:dyDescent="0.35">
      <c r="C51" t="str">
        <v>Cell Phone</v>
      </c>
    </row>
  </sheetData>
  <autoFilter ref="A1:I11" xr:uid="{BAF55E6E-15CA-42E7-85D6-568C3BCDF332}"/>
  <conditionalFormatting sqref="A1:A11 A39:A1048576">
    <cfRule type="duplicateValues" dxfId="3"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8C31-8A78-4BD1-B83D-AA1300DD0E28}">
  <sheetPr>
    <tabColor theme="7" tint="0.39997558519241921"/>
  </sheetPr>
  <dimension ref="A1:I51"/>
  <sheetViews>
    <sheetView zoomScale="130" zoomScaleNormal="130" workbookViewId="0">
      <pane xSplit="1" ySplit="1" topLeftCell="B2" activePane="bottomRight" state="frozen"/>
      <selection pane="topRight" activeCell="B1" sqref="B1"/>
      <selection pane="bottomLeft" activeCell="A2" sqref="A2"/>
      <selection pane="bottomRight" activeCell="K8" sqref="K8"/>
    </sheetView>
  </sheetViews>
  <sheetFormatPr defaultRowHeight="14.5" x14ac:dyDescent="0.35"/>
  <cols>
    <col min="1" max="1" width="16.81640625" customWidth="1"/>
    <col min="2" max="2" width="18.81640625" customWidth="1"/>
    <col min="3" max="3" width="17.36328125" customWidth="1"/>
    <col min="4" max="4" width="15.36328125" customWidth="1"/>
    <col min="5" max="5" width="15.1796875" customWidth="1"/>
    <col min="6" max="6" width="16.1796875" customWidth="1"/>
    <col min="7" max="7" width="15.08984375" customWidth="1"/>
    <col min="8" max="9" width="13.81640625" customWidth="1"/>
    <col min="10" max="10" width="10.08984375" customWidth="1"/>
    <col min="11" max="11" width="10.7265625" bestFit="1" customWidth="1"/>
  </cols>
  <sheetData>
    <row r="1" spans="1:9" ht="15.5" x14ac:dyDescent="0.35">
      <c r="A1" s="40" t="s">
        <v>44</v>
      </c>
      <c r="B1" s="41" t="s">
        <v>0</v>
      </c>
      <c r="C1" s="42" t="s">
        <v>1</v>
      </c>
      <c r="D1" s="42" t="s">
        <v>2</v>
      </c>
      <c r="E1" s="42" t="s">
        <v>3</v>
      </c>
      <c r="F1" s="42" t="s">
        <v>4</v>
      </c>
      <c r="G1" s="42" t="s">
        <v>5</v>
      </c>
      <c r="H1" s="42" t="s">
        <v>6</v>
      </c>
      <c r="I1" s="42" t="s">
        <v>7</v>
      </c>
    </row>
    <row r="2" spans="1:9" ht="15.5" x14ac:dyDescent="0.35">
      <c r="A2" s="43">
        <v>1</v>
      </c>
      <c r="B2" s="44">
        <v>43106</v>
      </c>
      <c r="C2" s="45" t="s">
        <v>8</v>
      </c>
      <c r="D2" s="46" t="s">
        <v>9</v>
      </c>
      <c r="E2" s="51" t="s">
        <v>10</v>
      </c>
      <c r="F2" s="54" t="s">
        <v>11</v>
      </c>
      <c r="G2" s="59">
        <v>95</v>
      </c>
      <c r="H2" s="57">
        <v>1198</v>
      </c>
      <c r="I2" s="55">
        <f t="shared" ref="I2:I11" si="0">G2*H2</f>
        <v>113810</v>
      </c>
    </row>
    <row r="3" spans="1:9" ht="15.5" x14ac:dyDescent="0.35">
      <c r="A3" s="43">
        <v>2</v>
      </c>
      <c r="B3" s="44">
        <v>43123</v>
      </c>
      <c r="C3" s="45" t="s">
        <v>12</v>
      </c>
      <c r="D3" s="46" t="s">
        <v>13</v>
      </c>
      <c r="E3" s="51" t="s">
        <v>14</v>
      </c>
      <c r="F3" s="54" t="s">
        <v>15</v>
      </c>
      <c r="G3" s="59">
        <v>50</v>
      </c>
      <c r="H3" s="57">
        <v>400</v>
      </c>
      <c r="I3" s="55">
        <f t="shared" si="0"/>
        <v>20000</v>
      </c>
    </row>
    <row r="4" spans="1:9" ht="15.5" x14ac:dyDescent="0.35">
      <c r="A4" s="43">
        <v>3</v>
      </c>
      <c r="B4" s="44">
        <v>43140</v>
      </c>
      <c r="C4" s="45" t="s">
        <v>12</v>
      </c>
      <c r="D4" s="46" t="s">
        <v>13</v>
      </c>
      <c r="E4" s="51" t="s">
        <v>16</v>
      </c>
      <c r="F4" s="54" t="s">
        <v>11</v>
      </c>
      <c r="G4" s="59">
        <v>36</v>
      </c>
      <c r="H4" s="57">
        <v>1198</v>
      </c>
      <c r="I4" s="55">
        <f t="shared" si="0"/>
        <v>43128</v>
      </c>
    </row>
    <row r="5" spans="1:9" ht="15.5" x14ac:dyDescent="0.35">
      <c r="A5" s="43">
        <v>4</v>
      </c>
      <c r="B5" s="44">
        <v>43157</v>
      </c>
      <c r="C5" s="45" t="s">
        <v>12</v>
      </c>
      <c r="D5" s="46" t="s">
        <v>17</v>
      </c>
      <c r="E5" s="51" t="s">
        <v>18</v>
      </c>
      <c r="F5" s="54" t="s">
        <v>19</v>
      </c>
      <c r="G5" s="59">
        <v>27</v>
      </c>
      <c r="H5" s="57">
        <v>225</v>
      </c>
      <c r="I5" s="55">
        <f t="shared" si="0"/>
        <v>6075</v>
      </c>
    </row>
    <row r="6" spans="1:9" ht="15.5" x14ac:dyDescent="0.35">
      <c r="A6" s="43">
        <v>5</v>
      </c>
      <c r="B6" s="48">
        <v>43174</v>
      </c>
      <c r="C6" s="49" t="s">
        <v>20</v>
      </c>
      <c r="D6" s="50" t="s">
        <v>17</v>
      </c>
      <c r="E6" s="56" t="s">
        <v>21</v>
      </c>
      <c r="F6" s="54" t="s">
        <v>11</v>
      </c>
      <c r="G6" s="59">
        <v>56</v>
      </c>
      <c r="H6" s="57">
        <v>1198</v>
      </c>
      <c r="I6" s="55">
        <f t="shared" si="0"/>
        <v>67088</v>
      </c>
    </row>
    <row r="7" spans="1:9" ht="15.5" x14ac:dyDescent="0.35">
      <c r="A7" s="43">
        <v>6</v>
      </c>
      <c r="B7" s="48">
        <v>43191</v>
      </c>
      <c r="C7" s="49" t="s">
        <v>8</v>
      </c>
      <c r="D7" s="50" t="s">
        <v>9</v>
      </c>
      <c r="E7" s="56" t="s">
        <v>10</v>
      </c>
      <c r="F7" s="54" t="s">
        <v>15</v>
      </c>
      <c r="G7" s="59">
        <v>60</v>
      </c>
      <c r="H7" s="57">
        <v>500</v>
      </c>
      <c r="I7" s="55">
        <f t="shared" si="0"/>
        <v>30000</v>
      </c>
    </row>
    <row r="8" spans="1:9" ht="15.5" x14ac:dyDescent="0.35">
      <c r="A8" s="43">
        <v>7</v>
      </c>
      <c r="B8" s="44">
        <v>43208</v>
      </c>
      <c r="C8" s="45" t="s">
        <v>12</v>
      </c>
      <c r="D8" s="47" t="s">
        <v>9</v>
      </c>
      <c r="E8" s="51" t="s">
        <v>22</v>
      </c>
      <c r="F8" s="54" t="s">
        <v>11</v>
      </c>
      <c r="G8" s="59">
        <v>75</v>
      </c>
      <c r="H8" s="57">
        <v>1198</v>
      </c>
      <c r="I8" s="55">
        <f t="shared" si="0"/>
        <v>89850</v>
      </c>
    </row>
    <row r="9" spans="1:9" ht="15.5" x14ac:dyDescent="0.35">
      <c r="A9" s="43">
        <v>8</v>
      </c>
      <c r="B9" s="44">
        <v>43225</v>
      </c>
      <c r="C9" s="45" t="s">
        <v>12</v>
      </c>
      <c r="D9" s="46" t="s">
        <v>13</v>
      </c>
      <c r="E9" s="51" t="s">
        <v>16</v>
      </c>
      <c r="F9" s="54" t="s">
        <v>19</v>
      </c>
      <c r="G9" s="59">
        <v>90</v>
      </c>
      <c r="H9" s="57">
        <v>1198</v>
      </c>
      <c r="I9" s="55">
        <f t="shared" si="0"/>
        <v>107820</v>
      </c>
    </row>
    <row r="10" spans="1:9" ht="15.5" x14ac:dyDescent="0.35">
      <c r="A10" s="43">
        <v>9</v>
      </c>
      <c r="B10" s="44">
        <v>43242</v>
      </c>
      <c r="C10" s="45" t="s">
        <v>20</v>
      </c>
      <c r="D10" s="51" t="s">
        <v>23</v>
      </c>
      <c r="E10" s="51" t="s">
        <v>24</v>
      </c>
      <c r="F10" s="54" t="s">
        <v>11</v>
      </c>
      <c r="G10" s="59">
        <v>32</v>
      </c>
      <c r="H10" s="58">
        <v>1198</v>
      </c>
      <c r="I10" s="55">
        <f t="shared" si="0"/>
        <v>38336</v>
      </c>
    </row>
    <row r="11" spans="1:9" ht="15.5" x14ac:dyDescent="0.35">
      <c r="A11" s="43">
        <v>10</v>
      </c>
      <c r="B11" s="44">
        <v>43259</v>
      </c>
      <c r="C11" s="45" t="s">
        <v>8</v>
      </c>
      <c r="D11" s="46" t="s">
        <v>9</v>
      </c>
      <c r="E11" s="51" t="s">
        <v>10</v>
      </c>
      <c r="F11" s="54" t="s">
        <v>15</v>
      </c>
      <c r="G11" s="59">
        <v>60</v>
      </c>
      <c r="H11" s="58">
        <v>500</v>
      </c>
      <c r="I11" s="55">
        <f t="shared" si="0"/>
        <v>30000</v>
      </c>
    </row>
    <row r="13" spans="1:9" x14ac:dyDescent="0.35">
      <c r="A13" s="97" t="s">
        <v>206</v>
      </c>
      <c r="B13" s="97" t="s">
        <v>207</v>
      </c>
      <c r="C13" s="98" t="s">
        <v>208</v>
      </c>
      <c r="D13" s="97" t="s">
        <v>209</v>
      </c>
    </row>
    <row r="14" spans="1:9" x14ac:dyDescent="0.35">
      <c r="A14" t="s">
        <v>211</v>
      </c>
      <c r="B14" s="104"/>
      <c r="C14" s="100">
        <f ca="1">TODAY()</f>
        <v>46125</v>
      </c>
      <c r="D14" s="99" t="s">
        <v>210</v>
      </c>
    </row>
    <row r="15" spans="1:9" x14ac:dyDescent="0.35">
      <c r="A15" t="s">
        <v>213</v>
      </c>
      <c r="B15" s="104"/>
      <c r="C15" s="100">
        <f ca="1">TODAY() + 50</f>
        <v>46175</v>
      </c>
      <c r="D15" s="99" t="s">
        <v>212</v>
      </c>
    </row>
    <row r="16" spans="1:9" x14ac:dyDescent="0.35">
      <c r="A16" t="s">
        <v>215</v>
      </c>
      <c r="B16" s="104"/>
      <c r="C16" s="102">
        <f ca="1">NOW()</f>
        <v>46125.896878703701</v>
      </c>
      <c r="D16" s="99" t="s">
        <v>214</v>
      </c>
    </row>
    <row r="17" spans="1:9" x14ac:dyDescent="0.35">
      <c r="A17" t="s">
        <v>217</v>
      </c>
      <c r="B17" s="104" t="s">
        <v>218</v>
      </c>
      <c r="C17" s="101">
        <f ca="1">DAY(NOW())</f>
        <v>13</v>
      </c>
      <c r="D17" s="103" t="s">
        <v>216</v>
      </c>
    </row>
    <row r="18" spans="1:9" x14ac:dyDescent="0.35">
      <c r="B18" s="104"/>
      <c r="C18" s="101">
        <f>DAY("23-03-2024")</f>
        <v>23</v>
      </c>
    </row>
    <row r="19" spans="1:9" x14ac:dyDescent="0.35">
      <c r="B19" s="104"/>
      <c r="C19" s="101"/>
    </row>
    <row r="20" spans="1:9" x14ac:dyDescent="0.35">
      <c r="B20" s="104"/>
      <c r="C20" s="101"/>
    </row>
    <row r="21" spans="1:9" x14ac:dyDescent="0.35">
      <c r="B21" s="104"/>
      <c r="C21" s="101"/>
    </row>
    <row r="22" spans="1:9" x14ac:dyDescent="0.35">
      <c r="B22" s="104"/>
      <c r="C22" s="101"/>
    </row>
    <row r="23" spans="1:9" x14ac:dyDescent="0.35">
      <c r="B23" s="104"/>
    </row>
    <row r="24" spans="1:9" x14ac:dyDescent="0.35">
      <c r="B24" s="104"/>
    </row>
    <row r="25" spans="1:9" x14ac:dyDescent="0.35">
      <c r="A25" s="110" t="s">
        <v>222</v>
      </c>
      <c r="B25" s="104"/>
      <c r="F25" t="s">
        <v>223</v>
      </c>
      <c r="G25" t="s">
        <v>223</v>
      </c>
    </row>
    <row r="26" spans="1:9" x14ac:dyDescent="0.35">
      <c r="A26" s="105" t="s">
        <v>0</v>
      </c>
      <c r="B26" s="106" t="s">
        <v>217</v>
      </c>
      <c r="C26" s="106" t="s">
        <v>219</v>
      </c>
      <c r="D26" s="106" t="s">
        <v>220</v>
      </c>
      <c r="E26" s="106" t="s">
        <v>221</v>
      </c>
      <c r="F26" s="97" t="s">
        <v>225</v>
      </c>
      <c r="G26" s="98" t="s">
        <v>224</v>
      </c>
      <c r="H26" s="98" t="s">
        <v>226</v>
      </c>
      <c r="I26" s="97" t="s">
        <v>227</v>
      </c>
    </row>
    <row r="27" spans="1:9" x14ac:dyDescent="0.35">
      <c r="A27" s="109">
        <v>42375</v>
      </c>
      <c r="B27" s="108">
        <f>DAY(A27)</f>
        <v>6</v>
      </c>
      <c r="C27" s="108">
        <f>MONTH(A27)</f>
        <v>1</v>
      </c>
      <c r="D27" s="108">
        <f>YEAR(A27)</f>
        <v>2016</v>
      </c>
      <c r="E27" s="108">
        <f>ROUNDUP(MONTH(A27)/3, FALSE)</f>
        <v>1</v>
      </c>
      <c r="F27" s="108" t="str">
        <f>TEXT(A27, "MM-YYYY")</f>
        <v>01-2016</v>
      </c>
      <c r="G27" s="108" t="str">
        <f>TEXT(A27, "DD-MM")</f>
        <v>06-01</v>
      </c>
      <c r="H27" s="108" t="str">
        <f>TEXT(A27, "DD/MM")</f>
        <v>06/01</v>
      </c>
      <c r="I27" s="34" t="str">
        <f>TEXT(A27, "DDD")</f>
        <v>Wed</v>
      </c>
    </row>
    <row r="28" spans="1:9" x14ac:dyDescent="0.35">
      <c r="A28" s="109">
        <v>43123</v>
      </c>
      <c r="B28" s="108">
        <f t="shared" ref="B28:B36" si="1">DAY(A28)</f>
        <v>23</v>
      </c>
      <c r="C28" s="108">
        <f t="shared" ref="C28:C36" si="2">MONTH(A28)</f>
        <v>1</v>
      </c>
      <c r="D28" s="108">
        <f t="shared" ref="D28:D36" si="3">YEAR(A28)</f>
        <v>2018</v>
      </c>
      <c r="E28" s="108">
        <f t="shared" ref="E28:E36" si="4">ROUNDUP(MONTH(A28)/3, FALSE)</f>
        <v>1</v>
      </c>
      <c r="F28" s="108" t="str">
        <f t="shared" ref="F28:F36" si="5">TEXT(A28, "MM-YYYY")</f>
        <v>01-2018</v>
      </c>
      <c r="G28" s="108" t="str">
        <f t="shared" ref="G28:G36" si="6">TEXT(A28, "DD-MM")</f>
        <v>23-01</v>
      </c>
      <c r="H28" s="108" t="str">
        <f t="shared" ref="H28:H36" si="7">TEXT(A28, "DD/MM")</f>
        <v>23/01</v>
      </c>
      <c r="I28" s="34" t="str">
        <f t="shared" ref="I28:I36" si="8">TEXT(A28, "DDD")</f>
        <v>Tue</v>
      </c>
    </row>
    <row r="29" spans="1:9" x14ac:dyDescent="0.35">
      <c r="A29" s="109">
        <v>43870</v>
      </c>
      <c r="B29" s="108">
        <f t="shared" si="1"/>
        <v>9</v>
      </c>
      <c r="C29" s="108">
        <f t="shared" si="2"/>
        <v>2</v>
      </c>
      <c r="D29" s="108">
        <f t="shared" si="3"/>
        <v>2020</v>
      </c>
      <c r="E29" s="108">
        <f t="shared" si="4"/>
        <v>1</v>
      </c>
      <c r="F29" s="108" t="str">
        <f t="shared" si="5"/>
        <v>02-2020</v>
      </c>
      <c r="G29" s="108" t="str">
        <f t="shared" si="6"/>
        <v>09-02</v>
      </c>
      <c r="H29" s="108" t="str">
        <f t="shared" si="7"/>
        <v>09/02</v>
      </c>
      <c r="I29" s="34" t="str">
        <f t="shared" si="8"/>
        <v>Sun</v>
      </c>
    </row>
    <row r="30" spans="1:9" x14ac:dyDescent="0.35">
      <c r="A30" s="109">
        <v>43307</v>
      </c>
      <c r="B30" s="108">
        <f t="shared" si="1"/>
        <v>26</v>
      </c>
      <c r="C30" s="108">
        <f t="shared" si="2"/>
        <v>7</v>
      </c>
      <c r="D30" s="108">
        <f t="shared" si="3"/>
        <v>2018</v>
      </c>
      <c r="E30" s="108">
        <f t="shared" si="4"/>
        <v>3</v>
      </c>
      <c r="F30" s="108" t="str">
        <f t="shared" si="5"/>
        <v>07-2018</v>
      </c>
      <c r="G30" s="108" t="str">
        <f t="shared" si="6"/>
        <v>26-07</v>
      </c>
      <c r="H30" s="108" t="str">
        <f t="shared" si="7"/>
        <v>26/07</v>
      </c>
      <c r="I30" s="34" t="str">
        <f t="shared" si="8"/>
        <v>Thu</v>
      </c>
    </row>
    <row r="31" spans="1:9" x14ac:dyDescent="0.35">
      <c r="A31" s="109">
        <v>43174</v>
      </c>
      <c r="B31" s="108">
        <f t="shared" si="1"/>
        <v>15</v>
      </c>
      <c r="C31" s="108">
        <f t="shared" si="2"/>
        <v>3</v>
      </c>
      <c r="D31" s="108">
        <f t="shared" si="3"/>
        <v>2018</v>
      </c>
      <c r="E31" s="108">
        <f t="shared" si="4"/>
        <v>1</v>
      </c>
      <c r="F31" s="108" t="str">
        <f t="shared" si="5"/>
        <v>03-2018</v>
      </c>
      <c r="G31" s="108" t="str">
        <f t="shared" si="6"/>
        <v>15-03</v>
      </c>
      <c r="H31" s="108" t="str">
        <f t="shared" si="7"/>
        <v>15/03</v>
      </c>
      <c r="I31" s="34" t="str">
        <f t="shared" si="8"/>
        <v>Thu</v>
      </c>
    </row>
    <row r="32" spans="1:9" x14ac:dyDescent="0.35">
      <c r="A32" s="109">
        <v>43191</v>
      </c>
      <c r="B32" s="108">
        <f t="shared" si="1"/>
        <v>1</v>
      </c>
      <c r="C32" s="108">
        <f t="shared" si="2"/>
        <v>4</v>
      </c>
      <c r="D32" s="108">
        <f t="shared" si="3"/>
        <v>2018</v>
      </c>
      <c r="E32" s="108">
        <f t="shared" si="4"/>
        <v>2</v>
      </c>
      <c r="F32" s="108" t="str">
        <f t="shared" si="5"/>
        <v>04-2018</v>
      </c>
      <c r="G32" s="108" t="str">
        <f t="shared" si="6"/>
        <v>01-04</v>
      </c>
      <c r="H32" s="108" t="str">
        <f t="shared" si="7"/>
        <v>01/04</v>
      </c>
      <c r="I32" s="34" t="str">
        <f t="shared" si="8"/>
        <v>Sun</v>
      </c>
    </row>
    <row r="33" spans="1:9" x14ac:dyDescent="0.35">
      <c r="A33" s="109">
        <v>44304</v>
      </c>
      <c r="B33" s="108">
        <f t="shared" si="1"/>
        <v>18</v>
      </c>
      <c r="C33" s="108">
        <f t="shared" si="2"/>
        <v>4</v>
      </c>
      <c r="D33" s="108">
        <f t="shared" si="3"/>
        <v>2021</v>
      </c>
      <c r="E33" s="108">
        <f t="shared" si="4"/>
        <v>2</v>
      </c>
      <c r="F33" s="108" t="str">
        <f t="shared" si="5"/>
        <v>04-2021</v>
      </c>
      <c r="G33" s="108" t="str">
        <f t="shared" si="6"/>
        <v>18-04</v>
      </c>
      <c r="H33" s="108" t="str">
        <f t="shared" si="7"/>
        <v>18/04</v>
      </c>
      <c r="I33" s="34" t="str">
        <f t="shared" si="8"/>
        <v>Sun</v>
      </c>
    </row>
    <row r="34" spans="1:9" x14ac:dyDescent="0.35">
      <c r="A34" s="109">
        <v>43225</v>
      </c>
      <c r="B34" s="108">
        <f t="shared" si="1"/>
        <v>5</v>
      </c>
      <c r="C34" s="108">
        <f t="shared" si="2"/>
        <v>5</v>
      </c>
      <c r="D34" s="108">
        <f t="shared" si="3"/>
        <v>2018</v>
      </c>
      <c r="E34" s="108">
        <f t="shared" si="4"/>
        <v>2</v>
      </c>
      <c r="F34" s="108" t="str">
        <f t="shared" si="5"/>
        <v>05-2018</v>
      </c>
      <c r="G34" s="108" t="str">
        <f t="shared" si="6"/>
        <v>05-05</v>
      </c>
      <c r="H34" s="108" t="str">
        <f t="shared" si="7"/>
        <v>05/05</v>
      </c>
      <c r="I34" s="34" t="str">
        <f t="shared" si="8"/>
        <v>Sat</v>
      </c>
    </row>
    <row r="35" spans="1:9" x14ac:dyDescent="0.35">
      <c r="A35" s="109">
        <v>43242</v>
      </c>
      <c r="B35" s="108">
        <f t="shared" si="1"/>
        <v>22</v>
      </c>
      <c r="C35" s="108">
        <f t="shared" si="2"/>
        <v>5</v>
      </c>
      <c r="D35" s="108">
        <f t="shared" si="3"/>
        <v>2018</v>
      </c>
      <c r="E35" s="108">
        <f t="shared" si="4"/>
        <v>2</v>
      </c>
      <c r="F35" s="108" t="str">
        <f t="shared" si="5"/>
        <v>05-2018</v>
      </c>
      <c r="G35" s="108" t="str">
        <f t="shared" si="6"/>
        <v>22-05</v>
      </c>
      <c r="H35" s="108" t="str">
        <f t="shared" si="7"/>
        <v>22/05</v>
      </c>
      <c r="I35" s="34" t="str">
        <f t="shared" si="8"/>
        <v>Tue</v>
      </c>
    </row>
    <row r="36" spans="1:9" x14ac:dyDescent="0.35">
      <c r="A36" s="109">
        <v>45938</v>
      </c>
      <c r="B36" s="108">
        <f t="shared" si="1"/>
        <v>8</v>
      </c>
      <c r="C36" s="108">
        <f t="shared" si="2"/>
        <v>10</v>
      </c>
      <c r="D36" s="108">
        <f t="shared" si="3"/>
        <v>2025</v>
      </c>
      <c r="E36" s="108">
        <f t="shared" si="4"/>
        <v>4</v>
      </c>
      <c r="F36" s="108" t="str">
        <f t="shared" si="5"/>
        <v>10-2025</v>
      </c>
      <c r="G36" s="108" t="str">
        <f t="shared" si="6"/>
        <v>08-10</v>
      </c>
      <c r="H36" s="108" t="str">
        <f t="shared" si="7"/>
        <v>08/10</v>
      </c>
      <c r="I36" s="34" t="str">
        <f t="shared" si="8"/>
        <v>Wed</v>
      </c>
    </row>
    <row r="41" spans="1:9" x14ac:dyDescent="0.35">
      <c r="B41" s="105" t="s">
        <v>228</v>
      </c>
      <c r="C41" s="36" t="s">
        <v>229</v>
      </c>
      <c r="D41" s="111" t="s">
        <v>230</v>
      </c>
      <c r="E41" s="36" t="s">
        <v>231</v>
      </c>
      <c r="F41" s="111" t="s">
        <v>232</v>
      </c>
    </row>
    <row r="42" spans="1:9" x14ac:dyDescent="0.35">
      <c r="B42" s="107">
        <v>43127</v>
      </c>
      <c r="C42" s="108" t="str">
        <f>TEXT(B42, "MM-DD-YYYY")</f>
        <v>01-27-2018</v>
      </c>
      <c r="D42" s="108" t="str">
        <f>TEXT(B42, "YYYY-MM-DD")</f>
        <v>2018-01-27</v>
      </c>
      <c r="E42" s="108" t="str">
        <f>TEXT(B42, "MM-YYYY")</f>
        <v>01-2018</v>
      </c>
      <c r="F42" s="108"/>
    </row>
    <row r="43" spans="1:9" x14ac:dyDescent="0.35">
      <c r="B43" s="107">
        <v>43123</v>
      </c>
      <c r="C43" s="108" t="str">
        <f t="shared" ref="C43:C51" si="9">TEXT(B43, "MM-DD-YYYY")</f>
        <v>01-23-2018</v>
      </c>
      <c r="D43" s="108" t="str">
        <f t="shared" ref="D43:D51" si="10">TEXT(B43, "YYYY-MM-DD")</f>
        <v>2018-01-23</v>
      </c>
      <c r="E43" s="108" t="str">
        <f t="shared" ref="E43:E51" si="11">TEXT(B43, "MM-YYYY")</f>
        <v>01-2018</v>
      </c>
      <c r="F43" s="108"/>
    </row>
    <row r="44" spans="1:9" x14ac:dyDescent="0.35">
      <c r="B44" s="107">
        <v>43140</v>
      </c>
      <c r="C44" s="108" t="str">
        <f t="shared" si="9"/>
        <v>02-09-2018</v>
      </c>
      <c r="D44" s="108" t="str">
        <f t="shared" si="10"/>
        <v>2018-02-09</v>
      </c>
      <c r="E44" s="108" t="str">
        <f t="shared" si="11"/>
        <v>02-2018</v>
      </c>
      <c r="F44" s="108"/>
    </row>
    <row r="45" spans="1:9" x14ac:dyDescent="0.35">
      <c r="B45" s="107">
        <v>43157</v>
      </c>
      <c r="C45" s="108" t="str">
        <f t="shared" si="9"/>
        <v>02-26-2018</v>
      </c>
      <c r="D45" s="108" t="str">
        <f t="shared" si="10"/>
        <v>2018-02-26</v>
      </c>
      <c r="E45" s="108" t="str">
        <f t="shared" si="11"/>
        <v>02-2018</v>
      </c>
      <c r="F45" s="108"/>
    </row>
    <row r="46" spans="1:9" x14ac:dyDescent="0.35">
      <c r="B46" s="107">
        <v>43174</v>
      </c>
      <c r="C46" s="108" t="str">
        <f t="shared" si="9"/>
        <v>03-15-2018</v>
      </c>
      <c r="D46" s="108" t="str">
        <f t="shared" si="10"/>
        <v>2018-03-15</v>
      </c>
      <c r="E46" s="108" t="str">
        <f t="shared" si="11"/>
        <v>03-2018</v>
      </c>
      <c r="F46" s="108"/>
    </row>
    <row r="47" spans="1:9" x14ac:dyDescent="0.35">
      <c r="B47" s="107">
        <v>43191</v>
      </c>
      <c r="C47" s="108" t="str">
        <f t="shared" si="9"/>
        <v>04-01-2018</v>
      </c>
      <c r="D47" s="108" t="str">
        <f t="shared" si="10"/>
        <v>2018-04-01</v>
      </c>
      <c r="E47" s="108" t="str">
        <f t="shared" si="11"/>
        <v>04-2018</v>
      </c>
      <c r="F47" s="108"/>
    </row>
    <row r="48" spans="1:9" x14ac:dyDescent="0.35">
      <c r="B48" s="107">
        <v>44304</v>
      </c>
      <c r="C48" s="108" t="str">
        <f t="shared" si="9"/>
        <v>04-18-2021</v>
      </c>
      <c r="D48" s="108" t="str">
        <f t="shared" si="10"/>
        <v>2021-04-18</v>
      </c>
      <c r="E48" s="108" t="str">
        <f t="shared" si="11"/>
        <v>04-2021</v>
      </c>
      <c r="F48" s="108"/>
    </row>
    <row r="49" spans="2:6" x14ac:dyDescent="0.35">
      <c r="B49" s="107">
        <v>43225</v>
      </c>
      <c r="C49" s="108" t="str">
        <f t="shared" si="9"/>
        <v>05-05-2018</v>
      </c>
      <c r="D49" s="108" t="str">
        <f t="shared" si="10"/>
        <v>2018-05-05</v>
      </c>
      <c r="E49" s="108" t="str">
        <f t="shared" si="11"/>
        <v>05-2018</v>
      </c>
      <c r="F49" s="108"/>
    </row>
    <row r="50" spans="2:6" x14ac:dyDescent="0.35">
      <c r="B50" s="107">
        <v>43242</v>
      </c>
      <c r="C50" s="108" t="str">
        <f t="shared" si="9"/>
        <v>05-22-2018</v>
      </c>
      <c r="D50" s="108" t="str">
        <f t="shared" si="10"/>
        <v>2018-05-22</v>
      </c>
      <c r="E50" s="108" t="str">
        <f t="shared" si="11"/>
        <v>05-2018</v>
      </c>
      <c r="F50" s="108"/>
    </row>
    <row r="51" spans="2:6" x14ac:dyDescent="0.35">
      <c r="B51" s="107">
        <v>43259</v>
      </c>
      <c r="C51" s="108" t="str">
        <f t="shared" si="9"/>
        <v>06-08-2018</v>
      </c>
      <c r="D51" s="108" t="str">
        <f t="shared" si="10"/>
        <v>2018-06-08</v>
      </c>
      <c r="E51" s="108" t="str">
        <f t="shared" si="11"/>
        <v>06-2018</v>
      </c>
      <c r="F51" s="108"/>
    </row>
  </sheetData>
  <autoFilter ref="A1:I11" xr:uid="{BAF55E6E-15CA-42E7-85D6-568C3BCDF332}"/>
  <conditionalFormatting sqref="A1:A11 A39:A1048576">
    <cfRule type="duplicateValues" dxfId="2" priority="1"/>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B5C2-B103-433C-8CAB-FA114D971881}">
  <dimension ref="A1:I51"/>
  <sheetViews>
    <sheetView tabSelected="1" zoomScale="150" zoomScaleNormal="150" workbookViewId="0">
      <pane ySplit="1" topLeftCell="A2" activePane="bottomLeft" state="frozen"/>
      <selection pane="bottomLeft" activeCell="F22" sqref="F22"/>
    </sheetView>
  </sheetViews>
  <sheetFormatPr defaultRowHeight="14.5" x14ac:dyDescent="0.35"/>
  <cols>
    <col min="1" max="1" width="10.90625" customWidth="1"/>
    <col min="2" max="2" width="16.6328125" bestFit="1" customWidth="1"/>
    <col min="3" max="3" width="15.1796875" customWidth="1"/>
    <col min="4" max="4" width="16.1796875" customWidth="1"/>
    <col min="5" max="5" width="15.1796875" customWidth="1"/>
    <col min="6" max="6" width="16.1796875" customWidth="1"/>
    <col min="7" max="7" width="15.08984375" customWidth="1"/>
    <col min="8" max="9" width="13.81640625" customWidth="1"/>
    <col min="10" max="10" width="10.08984375" customWidth="1"/>
    <col min="11" max="11" width="10.7265625" bestFit="1" customWidth="1"/>
  </cols>
  <sheetData>
    <row r="1" spans="1:9" ht="15.5" x14ac:dyDescent="0.35">
      <c r="A1" s="92" t="s">
        <v>233</v>
      </c>
      <c r="B1" s="41" t="s">
        <v>0</v>
      </c>
      <c r="C1" s="42" t="s">
        <v>1</v>
      </c>
      <c r="D1" s="42" t="s">
        <v>2</v>
      </c>
      <c r="E1" s="42" t="s">
        <v>3</v>
      </c>
      <c r="F1" s="42" t="s">
        <v>4</v>
      </c>
      <c r="G1" s="42" t="s">
        <v>5</v>
      </c>
      <c r="H1" s="42" t="s">
        <v>6</v>
      </c>
      <c r="I1" s="42" t="s">
        <v>7</v>
      </c>
    </row>
    <row r="2" spans="1:9" ht="15.5" x14ac:dyDescent="0.35">
      <c r="A2" s="112">
        <v>1</v>
      </c>
      <c r="B2" s="48">
        <v>43106</v>
      </c>
      <c r="C2" s="49" t="s">
        <v>8</v>
      </c>
      <c r="D2" s="50" t="s">
        <v>9</v>
      </c>
      <c r="E2" s="56" t="s">
        <v>10</v>
      </c>
      <c r="F2" s="54" t="s">
        <v>11</v>
      </c>
      <c r="G2" s="59">
        <v>95</v>
      </c>
      <c r="H2" s="57">
        <v>1198</v>
      </c>
      <c r="I2" s="55">
        <f t="shared" ref="I2:I11" si="0">G2*H2</f>
        <v>113810</v>
      </c>
    </row>
    <row r="3" spans="1:9" ht="15.5" x14ac:dyDescent="0.35">
      <c r="A3" s="117">
        <v>2</v>
      </c>
      <c r="B3" s="48">
        <v>43123</v>
      </c>
      <c r="C3" s="49" t="s">
        <v>12</v>
      </c>
      <c r="D3" s="50" t="s">
        <v>13</v>
      </c>
      <c r="E3" s="56" t="s">
        <v>14</v>
      </c>
      <c r="F3" s="118" t="s">
        <v>15</v>
      </c>
      <c r="G3" s="119">
        <v>50</v>
      </c>
      <c r="H3" s="57">
        <v>400</v>
      </c>
      <c r="I3" s="120">
        <f t="shared" si="0"/>
        <v>20000</v>
      </c>
    </row>
    <row r="4" spans="1:9" ht="15.5" x14ac:dyDescent="0.35">
      <c r="A4" s="112">
        <v>3</v>
      </c>
      <c r="B4" s="48">
        <v>43140</v>
      </c>
      <c r="C4" s="49" t="s">
        <v>12</v>
      </c>
      <c r="D4" s="50" t="s">
        <v>13</v>
      </c>
      <c r="E4" s="56" t="s">
        <v>16</v>
      </c>
      <c r="F4" s="54" t="s">
        <v>11</v>
      </c>
      <c r="G4" s="59">
        <v>36</v>
      </c>
      <c r="H4" s="57">
        <v>1198</v>
      </c>
      <c r="I4" s="55">
        <f t="shared" si="0"/>
        <v>43128</v>
      </c>
    </row>
    <row r="5" spans="1:9" ht="15.5" x14ac:dyDescent="0.35">
      <c r="A5" s="112">
        <v>4</v>
      </c>
      <c r="B5" s="48">
        <v>43157</v>
      </c>
      <c r="C5" s="49" t="s">
        <v>12</v>
      </c>
      <c r="D5" s="50" t="s">
        <v>17</v>
      </c>
      <c r="E5" s="56" t="s">
        <v>18</v>
      </c>
      <c r="F5" s="54" t="s">
        <v>19</v>
      </c>
      <c r="G5" s="59">
        <v>27</v>
      </c>
      <c r="H5" s="57">
        <v>225</v>
      </c>
      <c r="I5" s="55">
        <f t="shared" si="0"/>
        <v>6075</v>
      </c>
    </row>
    <row r="6" spans="1:9" ht="15.5" x14ac:dyDescent="0.35">
      <c r="A6" s="117">
        <v>5</v>
      </c>
      <c r="B6" s="48">
        <v>43174</v>
      </c>
      <c r="C6" s="49" t="s">
        <v>20</v>
      </c>
      <c r="D6" s="50" t="s">
        <v>17</v>
      </c>
      <c r="E6" s="56" t="s">
        <v>21</v>
      </c>
      <c r="F6" s="118" t="s">
        <v>11</v>
      </c>
      <c r="G6" s="119">
        <v>56</v>
      </c>
      <c r="H6" s="57">
        <v>1198</v>
      </c>
      <c r="I6" s="120">
        <f t="shared" si="0"/>
        <v>67088</v>
      </c>
    </row>
    <row r="7" spans="1:9" ht="15.5" x14ac:dyDescent="0.35">
      <c r="A7" s="117">
        <v>6</v>
      </c>
      <c r="B7" s="48">
        <v>43191</v>
      </c>
      <c r="C7" s="49" t="s">
        <v>8</v>
      </c>
      <c r="D7" s="50" t="s">
        <v>9</v>
      </c>
      <c r="E7" s="56" t="s">
        <v>10</v>
      </c>
      <c r="F7" s="118" t="s">
        <v>15</v>
      </c>
      <c r="G7" s="119">
        <v>60</v>
      </c>
      <c r="H7" s="57">
        <v>500</v>
      </c>
      <c r="I7" s="120">
        <f t="shared" si="0"/>
        <v>30000</v>
      </c>
    </row>
    <row r="8" spans="1:9" ht="15.5" x14ac:dyDescent="0.35">
      <c r="A8" s="112">
        <v>7</v>
      </c>
      <c r="B8" s="48">
        <v>43208</v>
      </c>
      <c r="C8" s="49" t="s">
        <v>12</v>
      </c>
      <c r="D8" s="113" t="s">
        <v>9</v>
      </c>
      <c r="E8" s="56" t="s">
        <v>22</v>
      </c>
      <c r="F8" s="54" t="s">
        <v>11</v>
      </c>
      <c r="G8" s="59">
        <v>75</v>
      </c>
      <c r="H8" s="57">
        <v>1198</v>
      </c>
      <c r="I8" s="55">
        <f t="shared" si="0"/>
        <v>89850</v>
      </c>
    </row>
    <row r="9" spans="1:9" ht="15.5" x14ac:dyDescent="0.35">
      <c r="A9" s="112">
        <v>8</v>
      </c>
      <c r="B9" s="48">
        <v>43225</v>
      </c>
      <c r="C9" s="49" t="s">
        <v>12</v>
      </c>
      <c r="D9" s="50" t="s">
        <v>13</v>
      </c>
      <c r="E9" s="56" t="s">
        <v>16</v>
      </c>
      <c r="F9" s="54" t="s">
        <v>19</v>
      </c>
      <c r="G9" s="59">
        <v>90</v>
      </c>
      <c r="H9" s="57">
        <v>1198</v>
      </c>
      <c r="I9" s="55">
        <f t="shared" si="0"/>
        <v>107820</v>
      </c>
    </row>
    <row r="10" spans="1:9" ht="15.5" x14ac:dyDescent="0.35">
      <c r="A10" s="112">
        <v>9</v>
      </c>
      <c r="B10" s="48">
        <v>43242</v>
      </c>
      <c r="C10" s="49" t="s">
        <v>20</v>
      </c>
      <c r="D10" s="56" t="s">
        <v>23</v>
      </c>
      <c r="E10" s="56" t="s">
        <v>24</v>
      </c>
      <c r="F10" s="54" t="s">
        <v>11</v>
      </c>
      <c r="G10" s="59">
        <v>32</v>
      </c>
      <c r="H10" s="58">
        <v>1198</v>
      </c>
      <c r="I10" s="55">
        <f t="shared" si="0"/>
        <v>38336</v>
      </c>
    </row>
    <row r="11" spans="1:9" ht="15.5" x14ac:dyDescent="0.35">
      <c r="A11" s="112">
        <v>10</v>
      </c>
      <c r="B11" s="48">
        <v>43259</v>
      </c>
      <c r="C11" s="49" t="s">
        <v>8</v>
      </c>
      <c r="D11" s="50" t="s">
        <v>9</v>
      </c>
      <c r="E11" s="56" t="s">
        <v>10</v>
      </c>
      <c r="F11" s="54" t="s">
        <v>15</v>
      </c>
      <c r="G11" s="59">
        <v>60</v>
      </c>
      <c r="H11" s="58">
        <v>500</v>
      </c>
      <c r="I11" s="55">
        <f t="shared" si="0"/>
        <v>30000</v>
      </c>
    </row>
    <row r="14" spans="1:9" x14ac:dyDescent="0.35">
      <c r="A14" s="114" t="s">
        <v>234</v>
      </c>
    </row>
    <row r="15" spans="1:9" x14ac:dyDescent="0.35">
      <c r="A15" s="116" t="s">
        <v>233</v>
      </c>
      <c r="B15" s="116" t="s">
        <v>4</v>
      </c>
      <c r="C15" s="116" t="s">
        <v>5</v>
      </c>
      <c r="D15" s="116" t="s">
        <v>235</v>
      </c>
      <c r="F15" s="116" t="s">
        <v>233</v>
      </c>
      <c r="G15" s="116" t="s">
        <v>4</v>
      </c>
      <c r="H15" s="116" t="s">
        <v>5</v>
      </c>
      <c r="I15" s="116" t="s">
        <v>235</v>
      </c>
    </row>
    <row r="16" spans="1:9" x14ac:dyDescent="0.35">
      <c r="A16" s="115">
        <v>6</v>
      </c>
      <c r="B16" s="108" t="str">
        <f>VLOOKUP(A16, $A$1:$I$11, 6, 0)</f>
        <v>Home Theater</v>
      </c>
      <c r="C16" s="108">
        <f>VLOOKUP(A16, $A$1:$I$11, 7, 0)</f>
        <v>60</v>
      </c>
      <c r="D16" s="121">
        <f>VLOOKUP(A16, $A$1:$I$11, 9)</f>
        <v>30000</v>
      </c>
      <c r="F16" s="115">
        <v>8</v>
      </c>
      <c r="G16" s="108" t="str" cm="1">
        <f t="array" ref="G16:I16">VLOOKUP(F16, $A$1:$I$11, {6,7,9}, 0)</f>
        <v>Cell Phone</v>
      </c>
      <c r="H16" s="108">
        <v>90</v>
      </c>
      <c r="I16" s="121">
        <v>107820</v>
      </c>
    </row>
    <row r="17" spans="1:9" x14ac:dyDescent="0.35">
      <c r="A17" s="115">
        <v>2</v>
      </c>
      <c r="B17" s="108" t="str">
        <f t="shared" ref="B17:B18" si="1">VLOOKUP(A17, $A$1:$I$11, 6, 0)</f>
        <v>Home Theater</v>
      </c>
      <c r="C17" s="108">
        <f t="shared" ref="C17:C18" si="2">VLOOKUP(A17, $A$1:$I$11, 7, 0)</f>
        <v>50</v>
      </c>
      <c r="D17" s="121">
        <f t="shared" ref="D17:D18" si="3">VLOOKUP(A17, $A$1:$I$11, 9)</f>
        <v>20000</v>
      </c>
      <c r="F17" s="115">
        <v>2</v>
      </c>
      <c r="G17" s="108" t="str" cm="1">
        <f t="array" ref="G17:I17">VLOOKUP(F17, $A$1:$I$11, {6,7,9}, 0)</f>
        <v>Home Theater</v>
      </c>
      <c r="H17" s="108">
        <v>50</v>
      </c>
      <c r="I17" s="121">
        <v>20000</v>
      </c>
    </row>
    <row r="18" spans="1:9" x14ac:dyDescent="0.35">
      <c r="A18" s="115">
        <v>5</v>
      </c>
      <c r="B18" s="108" t="str">
        <f t="shared" si="1"/>
        <v>Television</v>
      </c>
      <c r="C18" s="108">
        <f t="shared" si="2"/>
        <v>56</v>
      </c>
      <c r="D18" s="121">
        <f t="shared" si="3"/>
        <v>67088</v>
      </c>
      <c r="F18" s="115">
        <v>5</v>
      </c>
      <c r="G18" s="108" t="str" cm="1">
        <f t="array" ref="G18:I18">VLOOKUP(F18, $A$1:$I$11, {6,7,9}, 0)</f>
        <v>Television</v>
      </c>
      <c r="H18" s="108">
        <v>56</v>
      </c>
      <c r="I18" s="121">
        <v>67088</v>
      </c>
    </row>
    <row r="21" spans="1:9" x14ac:dyDescent="0.35">
      <c r="A21" s="97" t="s">
        <v>233</v>
      </c>
      <c r="B21" s="97" t="s">
        <v>4</v>
      </c>
      <c r="C21" s="97" t="s">
        <v>5</v>
      </c>
      <c r="D21" s="97" t="s">
        <v>235</v>
      </c>
    </row>
    <row r="22" spans="1:9" x14ac:dyDescent="0.35">
      <c r="A22" s="122">
        <v>8</v>
      </c>
      <c r="B22" s="115" t="str" cm="1">
        <f t="array" ref="B22:D22">VLOOKUP(A22, $A$1:$I$11, {6,7,9}, FALSE)</f>
        <v>Cell Phone</v>
      </c>
      <c r="C22" s="115">
        <v>90</v>
      </c>
      <c r="D22" s="123">
        <v>107820</v>
      </c>
    </row>
    <row r="48" spans="2:3" x14ac:dyDescent="0.35">
      <c r="B48" s="31" t="s">
        <v>193</v>
      </c>
      <c r="C48" s="52">
        <f>SUM(I2:I11)</f>
        <v>546107</v>
      </c>
    </row>
    <row r="49" spans="2:3" x14ac:dyDescent="0.35">
      <c r="B49" s="31" t="s">
        <v>192</v>
      </c>
      <c r="C49" s="53" t="str" cm="1">
        <f t="array" ref="C49:C51">_xlfn.UNIQUE(F2:F11)</f>
        <v>Television</v>
      </c>
    </row>
    <row r="50" spans="2:3" x14ac:dyDescent="0.35">
      <c r="C50" t="str">
        <v>Home Theater</v>
      </c>
    </row>
    <row r="51" spans="2:3" x14ac:dyDescent="0.35">
      <c r="C51" t="str">
        <v>Cell Phone</v>
      </c>
    </row>
  </sheetData>
  <autoFilter ref="A1:I1" xr:uid="{B149B5C2-B103-433C-8CAB-FA114D971881}"/>
  <conditionalFormatting sqref="A1:A11 A39:A1048576">
    <cfRule type="duplicateValues" dxfId="1" priority="1"/>
  </conditionalFormatting>
  <dataValidations count="1">
    <dataValidation type="list" allowBlank="1" showInputMessage="1" showErrorMessage="1" sqref="A22" xr:uid="{F703B278-123D-4D77-95FA-14CD00B4A4C4}">
      <formula1>$A$2:$A$11</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AB1C-F454-40E3-B2AE-72596624E059}">
  <dimension ref="A1:K9"/>
  <sheetViews>
    <sheetView zoomScale="160" zoomScaleNormal="160" workbookViewId="0">
      <selection activeCell="G14" sqref="G14"/>
    </sheetView>
  </sheetViews>
  <sheetFormatPr defaultRowHeight="14.5" x14ac:dyDescent="0.35"/>
  <cols>
    <col min="1" max="1" width="10.90625" customWidth="1"/>
    <col min="2" max="11" width="11.453125" customWidth="1"/>
  </cols>
  <sheetData>
    <row r="1" spans="1:11" ht="15.5" x14ac:dyDescent="0.35">
      <c r="A1" s="92" t="s">
        <v>233</v>
      </c>
      <c r="B1" s="112">
        <v>1</v>
      </c>
      <c r="C1" s="112">
        <v>2</v>
      </c>
      <c r="D1" s="112">
        <v>3</v>
      </c>
      <c r="E1" s="112">
        <v>4</v>
      </c>
      <c r="F1" s="112">
        <v>5</v>
      </c>
      <c r="G1" s="112">
        <v>6</v>
      </c>
      <c r="H1" s="112">
        <v>7</v>
      </c>
      <c r="I1" s="112">
        <v>8</v>
      </c>
      <c r="J1" s="112">
        <v>9</v>
      </c>
      <c r="K1" s="112">
        <v>10</v>
      </c>
    </row>
    <row r="2" spans="1:11" ht="15.5" x14ac:dyDescent="0.35">
      <c r="A2" s="41" t="s">
        <v>0</v>
      </c>
      <c r="B2" s="48">
        <v>43106</v>
      </c>
      <c r="C2" s="48">
        <v>43123</v>
      </c>
      <c r="D2" s="48">
        <v>43140</v>
      </c>
      <c r="E2" s="48">
        <v>43157</v>
      </c>
      <c r="F2" s="48">
        <v>43174</v>
      </c>
      <c r="G2" s="48">
        <v>43191</v>
      </c>
      <c r="H2" s="48">
        <v>43208</v>
      </c>
      <c r="I2" s="48">
        <v>43225</v>
      </c>
      <c r="J2" s="48">
        <v>43242</v>
      </c>
      <c r="K2" s="48">
        <v>43259</v>
      </c>
    </row>
    <row r="3" spans="1:11" ht="15.5" x14ac:dyDescent="0.35">
      <c r="A3" s="42" t="s">
        <v>1</v>
      </c>
      <c r="B3" s="49" t="s">
        <v>8</v>
      </c>
      <c r="C3" s="49" t="s">
        <v>12</v>
      </c>
      <c r="D3" s="49" t="s">
        <v>12</v>
      </c>
      <c r="E3" s="49" t="s">
        <v>12</v>
      </c>
      <c r="F3" s="49" t="s">
        <v>20</v>
      </c>
      <c r="G3" s="49" t="s">
        <v>8</v>
      </c>
      <c r="H3" s="49" t="s">
        <v>12</v>
      </c>
      <c r="I3" s="49" t="s">
        <v>12</v>
      </c>
      <c r="J3" s="49" t="s">
        <v>20</v>
      </c>
      <c r="K3" s="49" t="s">
        <v>8</v>
      </c>
    </row>
    <row r="4" spans="1:11" ht="31" x14ac:dyDescent="0.35">
      <c r="A4" s="42" t="s">
        <v>2</v>
      </c>
      <c r="B4" s="50" t="s">
        <v>9</v>
      </c>
      <c r="C4" s="50" t="s">
        <v>13</v>
      </c>
      <c r="D4" s="50" t="s">
        <v>13</v>
      </c>
      <c r="E4" s="50" t="s">
        <v>17</v>
      </c>
      <c r="F4" s="50" t="s">
        <v>17</v>
      </c>
      <c r="G4" s="50" t="s">
        <v>9</v>
      </c>
      <c r="H4" s="113" t="s">
        <v>9</v>
      </c>
      <c r="I4" s="50" t="s">
        <v>13</v>
      </c>
      <c r="J4" s="56" t="s">
        <v>23</v>
      </c>
      <c r="K4" s="50" t="s">
        <v>9</v>
      </c>
    </row>
    <row r="5" spans="1:11" ht="31" x14ac:dyDescent="0.35">
      <c r="A5" s="42" t="s">
        <v>3</v>
      </c>
      <c r="B5" s="56" t="s">
        <v>10</v>
      </c>
      <c r="C5" s="56" t="s">
        <v>14</v>
      </c>
      <c r="D5" s="56" t="s">
        <v>16</v>
      </c>
      <c r="E5" s="56" t="s">
        <v>18</v>
      </c>
      <c r="F5" s="56" t="s">
        <v>21</v>
      </c>
      <c r="G5" s="56" t="s">
        <v>10</v>
      </c>
      <c r="H5" s="56" t="s">
        <v>22</v>
      </c>
      <c r="I5" s="56" t="s">
        <v>16</v>
      </c>
      <c r="J5" s="56" t="s">
        <v>24</v>
      </c>
      <c r="K5" s="56" t="s">
        <v>10</v>
      </c>
    </row>
    <row r="6" spans="1:11" ht="15.5" x14ac:dyDescent="0.35">
      <c r="A6" s="42" t="s">
        <v>4</v>
      </c>
      <c r="B6" s="54" t="s">
        <v>11</v>
      </c>
      <c r="C6" s="54" t="s">
        <v>15</v>
      </c>
      <c r="D6" s="54" t="s">
        <v>11</v>
      </c>
      <c r="E6" s="54" t="s">
        <v>19</v>
      </c>
      <c r="F6" s="54" t="s">
        <v>11</v>
      </c>
      <c r="G6" s="54" t="s">
        <v>15</v>
      </c>
      <c r="H6" s="54" t="s">
        <v>11</v>
      </c>
      <c r="I6" s="54" t="s">
        <v>19</v>
      </c>
      <c r="J6" s="54" t="s">
        <v>11</v>
      </c>
      <c r="K6" s="54" t="s">
        <v>15</v>
      </c>
    </row>
    <row r="7" spans="1:11" ht="15.5" x14ac:dyDescent="0.35">
      <c r="A7" s="42" t="s">
        <v>5</v>
      </c>
      <c r="B7" s="59">
        <v>95</v>
      </c>
      <c r="C7" s="59">
        <v>50</v>
      </c>
      <c r="D7" s="59">
        <v>36</v>
      </c>
      <c r="E7" s="59">
        <v>27</v>
      </c>
      <c r="F7" s="59">
        <v>56</v>
      </c>
      <c r="G7" s="59">
        <v>60</v>
      </c>
      <c r="H7" s="59">
        <v>75</v>
      </c>
      <c r="I7" s="59">
        <v>90</v>
      </c>
      <c r="J7" s="59">
        <v>32</v>
      </c>
      <c r="K7" s="59">
        <v>60</v>
      </c>
    </row>
    <row r="8" spans="1:11" ht="15.5" x14ac:dyDescent="0.35">
      <c r="A8" s="42" t="s">
        <v>6</v>
      </c>
      <c r="B8" s="57">
        <v>1198</v>
      </c>
      <c r="C8" s="57">
        <v>400</v>
      </c>
      <c r="D8" s="57">
        <v>1198</v>
      </c>
      <c r="E8" s="57">
        <v>225</v>
      </c>
      <c r="F8" s="57">
        <v>1198</v>
      </c>
      <c r="G8" s="57">
        <v>500</v>
      </c>
      <c r="H8" s="57">
        <v>1198</v>
      </c>
      <c r="I8" s="57">
        <v>1198</v>
      </c>
      <c r="J8" s="58">
        <v>1198</v>
      </c>
      <c r="K8" s="58">
        <v>500</v>
      </c>
    </row>
    <row r="9" spans="1:11" ht="15.5" x14ac:dyDescent="0.35">
      <c r="A9" s="42" t="s">
        <v>7</v>
      </c>
      <c r="B9" s="55">
        <f>B7*B8</f>
        <v>113810</v>
      </c>
      <c r="C9" s="55">
        <f>C7*C8</f>
        <v>20000</v>
      </c>
      <c r="D9" s="55">
        <f>D7*D8</f>
        <v>43128</v>
      </c>
      <c r="E9" s="55">
        <f>E7*E8</f>
        <v>6075</v>
      </c>
      <c r="F9" s="55">
        <f>F7*F8</f>
        <v>67088</v>
      </c>
      <c r="G9" s="55">
        <f>G7*G8</f>
        <v>30000</v>
      </c>
      <c r="H9" s="55">
        <f>H7*H8</f>
        <v>89850</v>
      </c>
      <c r="I9" s="55">
        <f>I7*I8</f>
        <v>107820</v>
      </c>
      <c r="J9" s="55">
        <f>J7*J8</f>
        <v>38336</v>
      </c>
      <c r="K9" s="55">
        <f>K7*K8</f>
        <v>30000</v>
      </c>
    </row>
  </sheetData>
  <conditionalFormatting sqref="A1:K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9673BF-DE6A-445D-8571-9E4A5FDC06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Trade</vt:lpstr>
      <vt:lpstr>Order</vt:lpstr>
      <vt:lpstr>Trade (2)</vt:lpstr>
      <vt:lpstr>Sheet1</vt:lpstr>
      <vt:lpstr>Sheet2</vt:lpstr>
      <vt:lpstr>Order (2)</vt:lpstr>
      <vt:lpstr>Trade (3)</vt:lpstr>
      <vt:lpstr>Trade (4)</vt:lpstr>
      <vt:lpstr>Trade(Original)</vt:lpstr>
      <vt:lpstr>Trade1</vt:lpstr>
      <vt:lpstr>Lookup</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alam.mdimtiyaz085@gmail.com</dc:creator>
  <cp:lastModifiedBy>Admin</cp:lastModifiedBy>
  <cp:lastPrinted>2024-11-11T06:22:17Z</cp:lastPrinted>
  <dcterms:created xsi:type="dcterms:W3CDTF">2024-09-18T20:09:37Z</dcterms:created>
  <dcterms:modified xsi:type="dcterms:W3CDTF">2026-04-13T16:04:28Z</dcterms:modified>
</cp:coreProperties>
</file>